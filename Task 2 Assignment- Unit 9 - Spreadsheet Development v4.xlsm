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47c1d06b5c147ef/Documents/"/>
    </mc:Choice>
  </mc:AlternateContent>
  <xr:revisionPtr revIDLastSave="3" documentId="8_{ED09B576-661A-446F-B9F6-EE3B201CC86D}" xr6:coauthVersionLast="47" xr6:coauthVersionMax="47" xr10:uidLastSave="{9025BA29-9DB5-4B01-951D-2DA556DDB7D7}"/>
  <bookViews>
    <workbookView minimized="1" xWindow="384" yWindow="384" windowWidth="17280" windowHeight="8880" activeTab="1" xr2:uid="{00000000-000D-0000-FFFF-FFFF00000000}"/>
  </bookViews>
  <sheets>
    <sheet name="Cover" sheetId="12" r:id="rId1"/>
    <sheet name="Main Menu" sheetId="3" r:id="rId2"/>
    <sheet name="Ticket-Holder Details" sheetId="1" r:id="rId3"/>
    <sheet name="Summary" sheetId="11" r:id="rId4"/>
    <sheet name="Season Ticket Details" sheetId="2" r:id="rId5"/>
    <sheet name="Charts" sheetId="13" r:id="rId6"/>
    <sheet name="End" sheetId="14" r:id="rId7"/>
  </sheets>
  <definedNames>
    <definedName name="_xlnm._FilterDatabase" localSheetId="0" hidden="1">'Main Menu'!$A$1:$L$51</definedName>
    <definedName name="_xlnm._FilterDatabase" localSheetId="1" hidden="1">'Main Menu'!$A$1:$L$51</definedName>
    <definedName name="_xlnm._FilterDatabase" localSheetId="2" hidden="1">'Ticket-Holder Details'!$A$4:$L$54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8" i="11" l="1"/>
  <c r="C14" i="11" l="1"/>
  <c r="C13" i="11"/>
  <c r="G18" i="11" l="1"/>
  <c r="J7" i="1" l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6" i="1"/>
  <c r="J5" i="1"/>
  <c r="C18" i="11" l="1"/>
  <c r="C17" i="11"/>
  <c r="C9" i="11"/>
  <c r="C10" i="11"/>
  <c r="G4" i="11" l="1"/>
  <c r="C19" i="11"/>
  <c r="D17" i="11" s="1"/>
  <c r="C11" i="11"/>
  <c r="D10" i="11" s="1"/>
  <c r="C15" i="11"/>
  <c r="D18" i="11" l="1"/>
  <c r="D19" i="11" s="1"/>
  <c r="D13" i="11"/>
  <c r="D14" i="11"/>
  <c r="D9" i="11"/>
  <c r="D11" i="11" s="1"/>
  <c r="C5" i="11"/>
  <c r="C6" i="11"/>
  <c r="D15" i="11" l="1"/>
  <c r="C7" i="11"/>
  <c r="D6" i="11" l="1"/>
  <c r="D5" i="11"/>
  <c r="D7" i="11" l="1"/>
</calcChain>
</file>

<file path=xl/sharedStrings.xml><?xml version="1.0" encoding="utf-8"?>
<sst xmlns="http://schemas.openxmlformats.org/spreadsheetml/2006/main" count="566" uniqueCount="361">
  <si>
    <t>Season Ticket Holders                                                                                                                                                                                                                                                                                 Chelsea FC</t>
  </si>
  <si>
    <t>Title</t>
  </si>
  <si>
    <t>First Name</t>
  </si>
  <si>
    <t>Surname</t>
  </si>
  <si>
    <t>1st line Address</t>
  </si>
  <si>
    <t>Post Code</t>
  </si>
  <si>
    <t>Email</t>
  </si>
  <si>
    <t>Mobile NO.</t>
  </si>
  <si>
    <t>Age</t>
  </si>
  <si>
    <t>Gender</t>
  </si>
  <si>
    <t>Ticket Type</t>
  </si>
  <si>
    <t>Allocated Seat</t>
  </si>
  <si>
    <t>App Successful</t>
  </si>
  <si>
    <t>Mrs</t>
  </si>
  <si>
    <t>Lise</t>
  </si>
  <si>
    <t>Kershaw</t>
  </si>
  <si>
    <t>8 Trailsway Point</t>
  </si>
  <si>
    <t>B70 8HN</t>
  </si>
  <si>
    <t>mmedcalfe0@oracle.com</t>
  </si>
  <si>
    <t>570-354-1107</t>
  </si>
  <si>
    <t>Female</t>
  </si>
  <si>
    <t>Z1-Adult</t>
  </si>
  <si>
    <t>Yes</t>
  </si>
  <si>
    <t>Ms</t>
  </si>
  <si>
    <t>Jacquenette</t>
  </si>
  <si>
    <t>Jenne</t>
  </si>
  <si>
    <t>02 Fremont Place</t>
  </si>
  <si>
    <t>V90 NKI</t>
  </si>
  <si>
    <t>mchurchley1@hibu.com</t>
  </si>
  <si>
    <t>144-897-9265</t>
  </si>
  <si>
    <t>Z3-OAP</t>
  </si>
  <si>
    <t>Manya</t>
  </si>
  <si>
    <t>Marsden</t>
  </si>
  <si>
    <t>415 Carpenter Way</t>
  </si>
  <si>
    <t>F45 HIJ</t>
  </si>
  <si>
    <t>tlorenzetto2@tinyurl.com</t>
  </si>
  <si>
    <t>839-371-0846</t>
  </si>
  <si>
    <t>Z3-Adult</t>
  </si>
  <si>
    <t>Mr</t>
  </si>
  <si>
    <t>Mervin</t>
  </si>
  <si>
    <t>Shovelbottom</t>
  </si>
  <si>
    <t>5 Dryden Pass</t>
  </si>
  <si>
    <t>H17 IOP</t>
  </si>
  <si>
    <t>tiltchev3@prlog.org</t>
  </si>
  <si>
    <t>527-614-6161</t>
  </si>
  <si>
    <t>Male</t>
  </si>
  <si>
    <t>Z4-Child</t>
  </si>
  <si>
    <t>No</t>
  </si>
  <si>
    <t>Hanny</t>
  </si>
  <si>
    <t>O'Lenechan</t>
  </si>
  <si>
    <t>26 Atwood Park</t>
  </si>
  <si>
    <t>K56 GIU</t>
  </si>
  <si>
    <t>gdedon4@1688.com</t>
  </si>
  <si>
    <t>308-278-0927</t>
  </si>
  <si>
    <t>Toiboid</t>
  </si>
  <si>
    <t>Bebbell</t>
  </si>
  <si>
    <t>0743 Dwight Hill</t>
  </si>
  <si>
    <t>Y18 NMS</t>
  </si>
  <si>
    <t>jellerington5@w3.org</t>
  </si>
  <si>
    <t>628-784-4549</t>
  </si>
  <si>
    <t>Clarita</t>
  </si>
  <si>
    <t>Ody</t>
  </si>
  <si>
    <t>053 Talmadge Plaza</t>
  </si>
  <si>
    <t>R12 STU</t>
  </si>
  <si>
    <t>ddrage6@list-manage.com</t>
  </si>
  <si>
    <t>989-489-4235</t>
  </si>
  <si>
    <t>Z3-Student</t>
  </si>
  <si>
    <t>Viviana</t>
  </si>
  <si>
    <t>Driutti</t>
  </si>
  <si>
    <t>6094 Anhalt Alley</t>
  </si>
  <si>
    <t>W15 SKJ</t>
  </si>
  <si>
    <t>shessing7@123-reg.co.uk</t>
  </si>
  <si>
    <t>281-637-4555</t>
  </si>
  <si>
    <t>Z2-Adult</t>
  </si>
  <si>
    <t>Babb</t>
  </si>
  <si>
    <t>Bahde</t>
  </si>
  <si>
    <t>95564 Little Fleur Terrace</t>
  </si>
  <si>
    <t>S85 JFU</t>
  </si>
  <si>
    <t>tcommucci8@usnews.com</t>
  </si>
  <si>
    <t>982-227-0269</t>
  </si>
  <si>
    <t>Bartlet</t>
  </si>
  <si>
    <t>Kermit</t>
  </si>
  <si>
    <t>6 Harbort Park</t>
  </si>
  <si>
    <t>H73 FIH</t>
  </si>
  <si>
    <t>ckochl9@zimbio.com</t>
  </si>
  <si>
    <t>254-846-7629</t>
  </si>
  <si>
    <t>Z1-Child</t>
  </si>
  <si>
    <t>Marius</t>
  </si>
  <si>
    <t>Gotthard</t>
  </si>
  <si>
    <t>646 Kingsford Plaza</t>
  </si>
  <si>
    <t>Y57 GIU</t>
  </si>
  <si>
    <t>bgeera@diigo.com</t>
  </si>
  <si>
    <t>653-341-3506</t>
  </si>
  <si>
    <t>Z2-Student</t>
  </si>
  <si>
    <t>Syd</t>
  </si>
  <si>
    <t>Avrahamy</t>
  </si>
  <si>
    <t>00215 Kenwood Pass</t>
  </si>
  <si>
    <t>U12 2NG</t>
  </si>
  <si>
    <t>gspraggonb@mit.edu</t>
  </si>
  <si>
    <t>749-190-2324</t>
  </si>
  <si>
    <t>Samantha</t>
  </si>
  <si>
    <t>Worsam</t>
  </si>
  <si>
    <t>563 Messerschmidt Road</t>
  </si>
  <si>
    <t>I47 DUD</t>
  </si>
  <si>
    <t>mcurnuckec@shinystat.com</t>
  </si>
  <si>
    <t>952-568-0273</t>
  </si>
  <si>
    <t>Z3-Child</t>
  </si>
  <si>
    <t>Adamo</t>
  </si>
  <si>
    <t>Breinl</t>
  </si>
  <si>
    <t>5592 Jackson Road</t>
  </si>
  <si>
    <t>O17 FHD</t>
  </si>
  <si>
    <t>mdecruzed@apache.org</t>
  </si>
  <si>
    <t>626-955-2760</t>
  </si>
  <si>
    <t>Brendan</t>
  </si>
  <si>
    <t>Durning</t>
  </si>
  <si>
    <t>0280 Northport Way</t>
  </si>
  <si>
    <t>K01 HFI</t>
  </si>
  <si>
    <t>jbrawne@paypal.com</t>
  </si>
  <si>
    <t>221-816-8911</t>
  </si>
  <si>
    <t>Z4-Student</t>
  </si>
  <si>
    <t>Corrina</t>
  </si>
  <si>
    <t>Tyzack</t>
  </si>
  <si>
    <t>948 Dottie Road</t>
  </si>
  <si>
    <t>L12 HFK</t>
  </si>
  <si>
    <t>wboullenf@google.it</t>
  </si>
  <si>
    <t>822-385-8531</t>
  </si>
  <si>
    <t>Seward</t>
  </si>
  <si>
    <t>Mateu</t>
  </si>
  <si>
    <t>60509 Continental Center</t>
  </si>
  <si>
    <t>W N0 L</t>
  </si>
  <si>
    <t>ssambellg@ftc.gov</t>
  </si>
  <si>
    <t>791-180-6189</t>
  </si>
  <si>
    <t>Oliy</t>
  </si>
  <si>
    <t>Gregoriou</t>
  </si>
  <si>
    <t>80848 Kensington Junction</t>
  </si>
  <si>
    <t xml:space="preserve">E THU </t>
  </si>
  <si>
    <t>aleddieh@i2i.jp</t>
  </si>
  <si>
    <t>377-710-7567</t>
  </si>
  <si>
    <t>Heddie</t>
  </si>
  <si>
    <t>Feld</t>
  </si>
  <si>
    <t>2041 Hooker Drive</t>
  </si>
  <si>
    <t>X B UIO</t>
  </si>
  <si>
    <t>mredingi@cornell.edu</t>
  </si>
  <si>
    <t>405-522-6072</t>
  </si>
  <si>
    <t>Bondy</t>
  </si>
  <si>
    <t>Sissons</t>
  </si>
  <si>
    <t>49682 Clove Park</t>
  </si>
  <si>
    <t>M57 HTU</t>
  </si>
  <si>
    <t>fbravenj@cisco.com</t>
  </si>
  <si>
    <t>832-428-9128</t>
  </si>
  <si>
    <t>Dr</t>
  </si>
  <si>
    <t>Xymenes</t>
  </si>
  <si>
    <t>Postlewhite</t>
  </si>
  <si>
    <t>9324 Hudson Street</t>
  </si>
  <si>
    <t>N21 HIO</t>
  </si>
  <si>
    <t>hballayk@businessweek.com</t>
  </si>
  <si>
    <t>260-654-4762</t>
  </si>
  <si>
    <t>Z4-OAP</t>
  </si>
  <si>
    <t>Paton</t>
  </si>
  <si>
    <t>Tredwell</t>
  </si>
  <si>
    <t>19 Cordelia Lane</t>
  </si>
  <si>
    <t>I43 THB</t>
  </si>
  <si>
    <t>pcrelliml@reference.com</t>
  </si>
  <si>
    <t>933-881-4660</t>
  </si>
  <si>
    <t>Kira</t>
  </si>
  <si>
    <t>Porte</t>
  </si>
  <si>
    <t>8148 Corscot Center</t>
  </si>
  <si>
    <t>ODH 890</t>
  </si>
  <si>
    <t>bismailm@ycombinator.com</t>
  </si>
  <si>
    <t>862-845-8219</t>
  </si>
  <si>
    <t>Oren</t>
  </si>
  <si>
    <t>Pettican</t>
  </si>
  <si>
    <t>24 Boyd Place</t>
  </si>
  <si>
    <t>P90</t>
  </si>
  <si>
    <t>gnockn@hugedomains.com</t>
  </si>
  <si>
    <t>968-753-8267</t>
  </si>
  <si>
    <t>Z4-Adult</t>
  </si>
  <si>
    <t>Jorge</t>
  </si>
  <si>
    <t>Klasing</t>
  </si>
  <si>
    <t>7 Red Cloud Point</t>
  </si>
  <si>
    <t>STH 830</t>
  </si>
  <si>
    <t>lcoggillo@slashdot.org</t>
  </si>
  <si>
    <t>725-257-7655</t>
  </si>
  <si>
    <t>Z2-OAP</t>
  </si>
  <si>
    <t>Holmes</t>
  </si>
  <si>
    <t>Gudger</t>
  </si>
  <si>
    <t>2702 Ryan Place</t>
  </si>
  <si>
    <t>TJK 390</t>
  </si>
  <si>
    <t>ebarkleyp@samsung.com</t>
  </si>
  <si>
    <t>320-465-0380</t>
  </si>
  <si>
    <t>Bennie</t>
  </si>
  <si>
    <t>Rushford</t>
  </si>
  <si>
    <t>1 Menomonie Park</t>
  </si>
  <si>
    <t>GHG 289</t>
  </si>
  <si>
    <t>cslaffordq@ca.gov</t>
  </si>
  <si>
    <t>410-550-7376</t>
  </si>
  <si>
    <t>Corinna</t>
  </si>
  <si>
    <t>Yurivtsev</t>
  </si>
  <si>
    <t>3 Eagle Crest Park</t>
  </si>
  <si>
    <t>H38 3HB</t>
  </si>
  <si>
    <t>pbaylayr@hexun.com</t>
  </si>
  <si>
    <t>625-998-7494</t>
  </si>
  <si>
    <t>Hamlen</t>
  </si>
  <si>
    <t>Hambidge</t>
  </si>
  <si>
    <t>56383 4th Circle</t>
  </si>
  <si>
    <t>I 782 WH</t>
  </si>
  <si>
    <t>calbasinis@sciencedirect.com</t>
  </si>
  <si>
    <t>656-581-8491</t>
  </si>
  <si>
    <t>Alena</t>
  </si>
  <si>
    <t>Rasor</t>
  </si>
  <si>
    <t>67986 Debs Point</t>
  </si>
  <si>
    <t>JML 279</t>
  </si>
  <si>
    <t>bmckeowont@wix.com</t>
  </si>
  <si>
    <t>532-446-2242</t>
  </si>
  <si>
    <t>Hana</t>
  </si>
  <si>
    <t>Tretter</t>
  </si>
  <si>
    <t>012 Oneill Parkway</t>
  </si>
  <si>
    <t>09 ID</t>
  </si>
  <si>
    <t>gclinkardu@ovh.net</t>
  </si>
  <si>
    <t>389-964-3804</t>
  </si>
  <si>
    <t>Camila</t>
  </si>
  <si>
    <t>Linnemann</t>
  </si>
  <si>
    <t>2588 Larry Place</t>
  </si>
  <si>
    <t>LD 67</t>
  </si>
  <si>
    <t>atothacotv@simplemachines.org</t>
  </si>
  <si>
    <t>526-781-7340</t>
  </si>
  <si>
    <t>Z1-Student</t>
  </si>
  <si>
    <t>Evyn</t>
  </si>
  <si>
    <t>Palatini</t>
  </si>
  <si>
    <t>01874 Sommers Terrace</t>
  </si>
  <si>
    <t>Z1 HBK</t>
  </si>
  <si>
    <t>rwinchesterw@state.gov</t>
  </si>
  <si>
    <t>940-982-0256</t>
  </si>
  <si>
    <t>Kristel</t>
  </si>
  <si>
    <t>Philpault</t>
  </si>
  <si>
    <t>3283 Rigney Parkway</t>
  </si>
  <si>
    <t>A126 JBF</t>
  </si>
  <si>
    <t>dbollandx@booking.com</t>
  </si>
  <si>
    <t>434-429-4333</t>
  </si>
  <si>
    <t>Kathleen</t>
  </si>
  <si>
    <t>Vallentin</t>
  </si>
  <si>
    <t>538 Hudson Pass</t>
  </si>
  <si>
    <t>NI 918</t>
  </si>
  <si>
    <t>nhemsteady@gnu.org</t>
  </si>
  <si>
    <t>133-527-8177</t>
  </si>
  <si>
    <t>Peri</t>
  </si>
  <si>
    <t>By</t>
  </si>
  <si>
    <t>37458 Butterfield Plaza</t>
  </si>
  <si>
    <t>E ILK</t>
  </si>
  <si>
    <t>cmathesonz@google.co.jp</t>
  </si>
  <si>
    <t>806-202-6284</t>
  </si>
  <si>
    <t>Kelley</t>
  </si>
  <si>
    <t>Westerman</t>
  </si>
  <si>
    <t>5 Tennessee Park</t>
  </si>
  <si>
    <t>NJUF 89</t>
  </si>
  <si>
    <t>cbaildon10@foxnews.com</t>
  </si>
  <si>
    <t>793-843-6455</t>
  </si>
  <si>
    <t>Gertrudis</t>
  </si>
  <si>
    <t>Poad</t>
  </si>
  <si>
    <t>497 Pond Center</t>
  </si>
  <si>
    <t>38 12NH</t>
  </si>
  <si>
    <t>cdevil11@mediafire.com</t>
  </si>
  <si>
    <t>981-428-4163</t>
  </si>
  <si>
    <t>Cathy</t>
  </si>
  <si>
    <t>Hamelyn</t>
  </si>
  <si>
    <t>3 Cascade Way</t>
  </si>
  <si>
    <t>RJ38 38</t>
  </si>
  <si>
    <t>bmcgorley12@smugmug.com</t>
  </si>
  <si>
    <t>960-221-2003</t>
  </si>
  <si>
    <t>Niall</t>
  </si>
  <si>
    <t>Bleier</t>
  </si>
  <si>
    <t>41 Spohn Lane</t>
  </si>
  <si>
    <t>UR8 3HD</t>
  </si>
  <si>
    <t>fallatt13@youtube.com</t>
  </si>
  <si>
    <t>891-544-8752</t>
  </si>
  <si>
    <t>Brigitte</t>
  </si>
  <si>
    <t>Bogaert</t>
  </si>
  <si>
    <t>0 Spaight Pass</t>
  </si>
  <si>
    <t>19 HDJ</t>
  </si>
  <si>
    <t>cschneidar14@narod.ru</t>
  </si>
  <si>
    <t>947-301-4613</t>
  </si>
  <si>
    <t>Archie</t>
  </si>
  <si>
    <t>Guiel</t>
  </si>
  <si>
    <t>517 West Trail</t>
  </si>
  <si>
    <t>HD 99</t>
  </si>
  <si>
    <t>mpietruszka15@nhs.uk</t>
  </si>
  <si>
    <t>331-505-8465</t>
  </si>
  <si>
    <t>Laural</t>
  </si>
  <si>
    <t>Kliche</t>
  </si>
  <si>
    <t>9 Tony Road</t>
  </si>
  <si>
    <t>H45 543V</t>
  </si>
  <si>
    <t>pjanca16@cpanel.net</t>
  </si>
  <si>
    <t>115-539-3668</t>
  </si>
  <si>
    <t>Phyllys</t>
  </si>
  <si>
    <t>Kinneally</t>
  </si>
  <si>
    <t>18297 Hauk Way</t>
  </si>
  <si>
    <t>L47 HUH</t>
  </si>
  <si>
    <t>kcrawcour17@cam.ac.uk</t>
  </si>
  <si>
    <t>869-615-8968</t>
  </si>
  <si>
    <t>Bruis</t>
  </si>
  <si>
    <t>Lukasik</t>
  </si>
  <si>
    <t>309 Manufacturers Parkway</t>
  </si>
  <si>
    <t>LFA 72</t>
  </si>
  <si>
    <t>sgavrielli18@ehow.com</t>
  </si>
  <si>
    <t>101-358-4488</t>
  </si>
  <si>
    <t>Z2-Child</t>
  </si>
  <si>
    <t>Reuven</t>
  </si>
  <si>
    <t>Tremathack</t>
  </si>
  <si>
    <t>0331 Kipling Plaza</t>
  </si>
  <si>
    <t>F15 IMA</t>
  </si>
  <si>
    <t>abattram19@bandcamp.com</t>
  </si>
  <si>
    <t>935-999-0400</t>
  </si>
  <si>
    <t>Nealy</t>
  </si>
  <si>
    <t>Friman</t>
  </si>
  <si>
    <t>2485 Lerdahl Center</t>
  </si>
  <si>
    <t>D33 IGB</t>
  </si>
  <si>
    <t>kcapponeer1a@webmd.com</t>
  </si>
  <si>
    <t>740-871-6247</t>
  </si>
  <si>
    <t>Heindrick</t>
  </si>
  <si>
    <t>Brogioni</t>
  </si>
  <si>
    <t>18 Westend Center</t>
  </si>
  <si>
    <t>S37 GHU</t>
  </si>
  <si>
    <t>lfinlay1b@tiny.cc</t>
  </si>
  <si>
    <t>465-999-0647</t>
  </si>
  <si>
    <t>Sada</t>
  </si>
  <si>
    <t>Forber</t>
  </si>
  <si>
    <t>03865 Lawn Drive</t>
  </si>
  <si>
    <t>65 V44</t>
  </si>
  <si>
    <t>gconibear1c@ehow.com</t>
  </si>
  <si>
    <t>889-914-9460</t>
  </si>
  <si>
    <t>Laurene</t>
  </si>
  <si>
    <t>Van Driel</t>
  </si>
  <si>
    <t>51840 Calypso Avenue</t>
  </si>
  <si>
    <t>VIF 594</t>
  </si>
  <si>
    <t>ebenediktsson1d@nasa.gov</t>
  </si>
  <si>
    <t>684-811-1481</t>
  </si>
  <si>
    <t>Percentage</t>
  </si>
  <si>
    <t xml:space="preserve">Profit   </t>
  </si>
  <si>
    <t>Current</t>
  </si>
  <si>
    <t xml:space="preserve">Loss   </t>
  </si>
  <si>
    <t>Status</t>
  </si>
  <si>
    <t xml:space="preserve">Total   </t>
  </si>
  <si>
    <t>Amount of applicants gained</t>
  </si>
  <si>
    <t xml:space="preserve">How many declined (No)   </t>
  </si>
  <si>
    <t xml:space="preserve">Total (accepted/declined)   </t>
  </si>
  <si>
    <t>Females joined</t>
  </si>
  <si>
    <t>How many Male</t>
  </si>
  <si>
    <t>Total</t>
  </si>
  <si>
    <t xml:space="preserve">How much £ Yes values   </t>
  </si>
  <si>
    <t>65 +</t>
  </si>
  <si>
    <t>Under18s</t>
  </si>
  <si>
    <t xml:space="preserve">How much £ of No values   </t>
  </si>
  <si>
    <t>Season Ticket Details</t>
  </si>
  <si>
    <t>Ticket type</t>
  </si>
  <si>
    <t>Ticket Price</t>
  </si>
  <si>
    <t>Application Successful</t>
  </si>
  <si>
    <t>Z1-OAP</t>
  </si>
  <si>
    <t>The following tables are linked to the Ticket-Holder Details for e.g. the Ticket type will be using DDL and the Ticket Price will use the VLOOKUP function to link it to the Ticket-Holder Details.</t>
  </si>
  <si>
    <t>Charts</t>
  </si>
  <si>
    <t>The bar chart is used to read how much money spent on each zone. The scatter graph is used to see the fluctuation of the currency flow.</t>
  </si>
  <si>
    <t>The End ….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</si>
</sst>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£&quot;* #,##0.00_-;\-&quot;£&quot;* #,##0.00_-;_-&quot;£&quot;* &quot;-&quot;??_-;_-@_-"/>
    <numFmt numFmtId="164" formatCode="_-&quot;£&quot;* #,##0_-;\-&quot;£&quot;* #,##0_-;_-&quot;£&quot;* &quot;-&quot;??_-;_-@_-"/>
  </numFmts>
  <fonts count="18" x14ac:knownFonts="1">
    <font>
      <sz val="11"/>
      <color theme="1"/>
      <name val="Calibri"/>
      <family val="2"/>
      <scheme val="minor"/>
    </font>
    <font>
      <sz val="11"/>
      <name val="Arial"/>
      <family val="1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6"/>
      <color theme="9" tint="0.7999816888943144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Britannic Bold"/>
      <family val="2"/>
    </font>
    <font>
      <b/>
      <sz val="12"/>
      <color theme="1"/>
      <name val="Calibri"/>
      <family val="2"/>
      <scheme val="minor"/>
    </font>
    <font>
      <sz val="18"/>
      <color rgb="FFFFFF00"/>
      <name val="Calibri"/>
      <family val="2"/>
      <scheme val="minor"/>
    </font>
    <font>
      <sz val="11"/>
      <color rgb="FFFFFF00"/>
      <name val="Calibri"/>
      <family val="2"/>
      <scheme val="minor"/>
    </font>
    <font>
      <sz val="26"/>
      <color rgb="FFFFFF00"/>
      <name val="Calibri"/>
      <family val="2"/>
      <scheme val="minor"/>
    </font>
    <font>
      <sz val="20"/>
      <color rgb="FFFFFF00"/>
      <name val="Calibri"/>
      <family val="2"/>
      <scheme val="minor"/>
    </font>
    <font>
      <sz val="48"/>
      <color rgb="FFFFFF00"/>
      <name val="Agency FB"/>
      <family val="2"/>
    </font>
    <font>
      <sz val="26"/>
      <color rgb="FFFFFF00"/>
      <name val="Agency FB"/>
      <family val="2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7" fillId="3" borderId="0" xfId="0" applyFont="1" applyFill="1"/>
    <xf numFmtId="0" fontId="3" fillId="5" borderId="0" xfId="0" applyFont="1" applyFill="1" applyAlignment="1">
      <alignment vertical="center" wrapText="1"/>
    </xf>
    <xf numFmtId="0" fontId="4" fillId="5" borderId="0" xfId="0" applyFont="1" applyFill="1" applyAlignment="1">
      <alignment vertical="center" wrapText="1"/>
    </xf>
    <xf numFmtId="0" fontId="0" fillId="5" borderId="0" xfId="0" applyFill="1"/>
    <xf numFmtId="0" fontId="3" fillId="5" borderId="1" xfId="0" applyFont="1" applyFill="1" applyBorder="1" applyAlignment="1">
      <alignment vertical="center" wrapText="1"/>
    </xf>
    <xf numFmtId="44" fontId="0" fillId="5" borderId="0" xfId="0" applyNumberFormat="1" applyFill="1"/>
    <xf numFmtId="0" fontId="0" fillId="6" borderId="2" xfId="0" applyFill="1" applyBorder="1"/>
    <xf numFmtId="0" fontId="1" fillId="6" borderId="2" xfId="1" applyFill="1" applyBorder="1"/>
    <xf numFmtId="0" fontId="0" fillId="8" borderId="2" xfId="0" applyFill="1" applyBorder="1"/>
    <xf numFmtId="0" fontId="1" fillId="8" borderId="2" xfId="1" applyFill="1" applyBorder="1"/>
    <xf numFmtId="44" fontId="0" fillId="8" borderId="2" xfId="2" applyFont="1" applyFill="1" applyBorder="1"/>
    <xf numFmtId="0" fontId="0" fillId="8" borderId="3" xfId="0" applyFill="1" applyBorder="1"/>
    <xf numFmtId="0" fontId="6" fillId="6" borderId="2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 wrapText="1"/>
    </xf>
    <xf numFmtId="0" fontId="0" fillId="9" borderId="0" xfId="0" applyFill="1"/>
    <xf numFmtId="9" fontId="0" fillId="9" borderId="0" xfId="3" applyFont="1" applyFill="1" applyBorder="1"/>
    <xf numFmtId="44" fontId="0" fillId="9" borderId="0" xfId="2" applyFont="1" applyFill="1" applyBorder="1"/>
    <xf numFmtId="44" fontId="0" fillId="9" borderId="0" xfId="0" applyNumberFormat="1" applyFill="1"/>
    <xf numFmtId="0" fontId="0" fillId="9" borderId="0" xfId="0" applyFill="1" applyAlignment="1">
      <alignment horizontal="center" vertical="center"/>
    </xf>
    <xf numFmtId="0" fontId="0" fillId="8" borderId="0" xfId="0" applyFill="1"/>
    <xf numFmtId="0" fontId="6" fillId="8" borderId="2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9" fontId="0" fillId="9" borderId="0" xfId="0" applyNumberFormat="1" applyFill="1"/>
    <xf numFmtId="0" fontId="0" fillId="5" borderId="2" xfId="0" applyFill="1" applyBorder="1"/>
    <xf numFmtId="0" fontId="0" fillId="3" borderId="2" xfId="0" applyFill="1" applyBorder="1"/>
    <xf numFmtId="44" fontId="0" fillId="5" borderId="2" xfId="2" applyFont="1" applyFill="1" applyBorder="1"/>
    <xf numFmtId="44" fontId="0" fillId="3" borderId="2" xfId="2" applyFont="1" applyFill="1" applyBorder="1"/>
    <xf numFmtId="0" fontId="0" fillId="9" borderId="0" xfId="0" applyFill="1" applyAlignment="1">
      <alignment horizontal="center"/>
    </xf>
    <xf numFmtId="0" fontId="9" fillId="9" borderId="0" xfId="0" applyFont="1" applyFill="1" applyAlignment="1">
      <alignment horizontal="center" vertical="center"/>
    </xf>
    <xf numFmtId="0" fontId="0" fillId="9" borderId="0" xfId="0" applyFill="1" applyAlignment="1">
      <alignment horizontal="right"/>
    </xf>
    <xf numFmtId="9" fontId="0" fillId="9" borderId="0" xfId="3" applyFont="1" applyFill="1" applyBorder="1" applyAlignment="1">
      <alignment horizontal="center" vertical="center"/>
    </xf>
    <xf numFmtId="9" fontId="0" fillId="9" borderId="0" xfId="0" applyNumberFormat="1" applyFill="1" applyAlignment="1">
      <alignment horizontal="center" vertical="center"/>
    </xf>
    <xf numFmtId="164" fontId="11" fillId="9" borderId="0" xfId="2" applyNumberFormat="1" applyFont="1" applyFill="1" applyBorder="1"/>
    <xf numFmtId="164" fontId="11" fillId="9" borderId="0" xfId="0" applyNumberFormat="1" applyFont="1" applyFill="1"/>
    <xf numFmtId="0" fontId="12" fillId="10" borderId="0" xfId="0" applyFont="1" applyFill="1" applyAlignment="1">
      <alignment vertical="center"/>
    </xf>
    <xf numFmtId="0" fontId="13" fillId="10" borderId="0" xfId="0" applyFont="1" applyFill="1"/>
    <xf numFmtId="0" fontId="13" fillId="2" borderId="0" xfId="0" applyFont="1" applyFill="1"/>
    <xf numFmtId="0" fontId="9" fillId="11" borderId="0" xfId="0" applyFont="1" applyFill="1" applyAlignment="1">
      <alignment horizontal="center"/>
    </xf>
    <xf numFmtId="0" fontId="14" fillId="2" borderId="0" xfId="0" applyFont="1" applyFill="1" applyAlignment="1">
      <alignment vertical="center"/>
    </xf>
    <xf numFmtId="0" fontId="15" fillId="2" borderId="0" xfId="0" applyFont="1" applyFill="1" applyAlignment="1">
      <alignment vertical="center"/>
    </xf>
    <xf numFmtId="0" fontId="8" fillId="7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10" fillId="3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12" fillId="10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</cellXfs>
  <cellStyles count="4">
    <cellStyle name="Currency" xfId="2" builtinId="4"/>
    <cellStyle name="Normal" xfId="0" builtinId="0"/>
    <cellStyle name="Normal 2" xfId="1" xr:uid="{00000000-0005-0000-0000-000002000000}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Seat</a:t>
            </a:r>
            <a:r>
              <a:rPr lang="en-GB" baseline="0"/>
              <a:t> Prices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'Season Ticket Details'!$D$11:$D$26</c:f>
              <c:strCache>
                <c:ptCount val="16"/>
                <c:pt idx="0">
                  <c:v>Z1-Child</c:v>
                </c:pt>
                <c:pt idx="1">
                  <c:v>Z1-Student</c:v>
                </c:pt>
                <c:pt idx="2">
                  <c:v>Z1-OAP</c:v>
                </c:pt>
                <c:pt idx="3">
                  <c:v>Z1-Adult</c:v>
                </c:pt>
                <c:pt idx="4">
                  <c:v>Z2-Child</c:v>
                </c:pt>
                <c:pt idx="5">
                  <c:v>Z2-Student</c:v>
                </c:pt>
                <c:pt idx="6">
                  <c:v>Z2-OAP</c:v>
                </c:pt>
                <c:pt idx="7">
                  <c:v>Z2-Adult</c:v>
                </c:pt>
                <c:pt idx="8">
                  <c:v>Z3-Child</c:v>
                </c:pt>
                <c:pt idx="9">
                  <c:v>Z3-Student</c:v>
                </c:pt>
                <c:pt idx="10">
                  <c:v>Z3-OAP</c:v>
                </c:pt>
                <c:pt idx="11">
                  <c:v>Z3-Adult</c:v>
                </c:pt>
                <c:pt idx="12">
                  <c:v>Z4-Child</c:v>
                </c:pt>
                <c:pt idx="13">
                  <c:v>Z4-Student</c:v>
                </c:pt>
                <c:pt idx="14">
                  <c:v>Z4-OAP</c:v>
                </c:pt>
                <c:pt idx="15">
                  <c:v>Z4-Adult</c:v>
                </c:pt>
              </c:strCache>
            </c:strRef>
          </c:cat>
          <c:val>
            <c:numRef>
              <c:f>'Season Ticket Details'!$E$11:$E$26</c:f>
              <c:numCache>
                <c:formatCode>_("£"* #,##0.00_);_("£"* \(#,##0.00\);_("£"* "-"??_);_(@_)</c:formatCode>
                <c:ptCount val="16"/>
                <c:pt idx="0">
                  <c:v>613</c:v>
                </c:pt>
                <c:pt idx="1">
                  <c:v>505</c:v>
                </c:pt>
                <c:pt idx="2">
                  <c:v>875</c:v>
                </c:pt>
                <c:pt idx="3">
                  <c:v>642</c:v>
                </c:pt>
                <c:pt idx="4">
                  <c:v>673</c:v>
                </c:pt>
                <c:pt idx="5">
                  <c:v>692</c:v>
                </c:pt>
                <c:pt idx="6">
                  <c:v>532</c:v>
                </c:pt>
                <c:pt idx="7">
                  <c:v>421</c:v>
                </c:pt>
                <c:pt idx="8">
                  <c:v>79</c:v>
                </c:pt>
                <c:pt idx="9">
                  <c:v>116</c:v>
                </c:pt>
                <c:pt idx="10">
                  <c:v>530</c:v>
                </c:pt>
                <c:pt idx="11">
                  <c:v>210</c:v>
                </c:pt>
                <c:pt idx="12">
                  <c:v>554</c:v>
                </c:pt>
                <c:pt idx="13">
                  <c:v>355</c:v>
                </c:pt>
                <c:pt idx="14">
                  <c:v>642</c:v>
                </c:pt>
                <c:pt idx="15">
                  <c:v>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AF-41CB-9637-5BE14E1DE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529726872"/>
        <c:axId val="529720640"/>
      </c:barChart>
      <c:catAx>
        <c:axId val="5297268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720640"/>
        <c:crosses val="autoZero"/>
        <c:auto val="1"/>
        <c:lblAlgn val="ctr"/>
        <c:lblOffset val="100"/>
        <c:noMultiLvlLbl val="0"/>
      </c:catAx>
      <c:valAx>
        <c:axId val="5297206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£&quot;* #,##0.00_);_(&quot;£&quot;* \(#,##0.00\);_(&quot;£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726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Main Menu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Charts!A1"/><Relationship Id="rId3" Type="http://schemas.openxmlformats.org/officeDocument/2006/relationships/image" Target="../media/image4.png"/><Relationship Id="rId7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hyperlink" Target="#'Ticket-Holder Details'!A1"/><Relationship Id="rId6" Type="http://schemas.openxmlformats.org/officeDocument/2006/relationships/hyperlink" Target="#Cover!A1"/><Relationship Id="rId5" Type="http://schemas.openxmlformats.org/officeDocument/2006/relationships/hyperlink" Target="#End!A1"/><Relationship Id="rId4" Type="http://schemas.openxmlformats.org/officeDocument/2006/relationships/hyperlink" Target="#Summary!A1"/><Relationship Id="rId9" Type="http://schemas.openxmlformats.org/officeDocument/2006/relationships/hyperlink" Target="#'Season Ticket Detail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hyperlink" Target="#'Main Menu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#'Main Menu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#'Main Menu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Main Menu'!A1"/><Relationship Id="rId2" Type="http://schemas.openxmlformats.org/officeDocument/2006/relationships/image" Target="../media/image11.png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hyperlink" Target="#'Main Menu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95250</xdr:colOff>
      <xdr:row>1</xdr:row>
      <xdr:rowOff>152400</xdr:rowOff>
    </xdr:from>
    <xdr:to>
      <xdr:col>24</xdr:col>
      <xdr:colOff>166138</xdr:colOff>
      <xdr:row>9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3650" y="342900"/>
          <a:ext cx="12262888" cy="152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444580</xdr:colOff>
      <xdr:row>2</xdr:row>
      <xdr:rowOff>95250</xdr:rowOff>
    </xdr:from>
    <xdr:to>
      <xdr:col>21</xdr:col>
      <xdr:colOff>333373</xdr:colOff>
      <xdr:row>8</xdr:row>
      <xdr:rowOff>73426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26980" y="476250"/>
          <a:ext cx="1107993" cy="1121176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15</xdr:row>
      <xdr:rowOff>123825</xdr:rowOff>
    </xdr:from>
    <xdr:to>
      <xdr:col>16</xdr:col>
      <xdr:colOff>419100</xdr:colOff>
      <xdr:row>22</xdr:row>
      <xdr:rowOff>161925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772275" y="2981325"/>
          <a:ext cx="3400425" cy="1371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Created By:</a:t>
          </a:r>
        </a:p>
        <a:p>
          <a:pPr algn="ctr"/>
          <a:r>
            <a:rPr lang="en-GB" sz="1200"/>
            <a:t>Munasar</a:t>
          </a:r>
          <a:r>
            <a:rPr lang="en-GB" sz="1200" baseline="0"/>
            <a:t> Muhidin</a:t>
          </a:r>
        </a:p>
        <a:p>
          <a:pPr algn="ctr"/>
          <a:r>
            <a:rPr lang="en-GB" sz="1200" baseline="0"/>
            <a:t>S45469429</a:t>
          </a:r>
        </a:p>
        <a:p>
          <a:pPr algn="ctr"/>
          <a:r>
            <a:rPr lang="en-GB" sz="1200" baseline="0"/>
            <a:t>Systems Developer</a:t>
          </a:r>
          <a:endParaRPr lang="en-GB" sz="1200"/>
        </a:p>
      </xdr:txBody>
    </xdr:sp>
    <xdr:clientData/>
  </xdr:twoCellAnchor>
  <xdr:twoCellAnchor>
    <xdr:from>
      <xdr:col>3</xdr:col>
      <xdr:colOff>381000</xdr:colOff>
      <xdr:row>8</xdr:row>
      <xdr:rowOff>0</xdr:rowOff>
    </xdr:from>
    <xdr:to>
      <xdr:col>23</xdr:col>
      <xdr:colOff>238125</xdr:colOff>
      <xdr:row>10</xdr:row>
      <xdr:rowOff>123825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>
          <a:off x="2209800" y="1524000"/>
          <a:ext cx="12049125" cy="504825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352425</xdr:colOff>
      <xdr:row>7</xdr:row>
      <xdr:rowOff>180975</xdr:rowOff>
    </xdr:from>
    <xdr:to>
      <xdr:col>12</xdr:col>
      <xdr:colOff>390525</xdr:colOff>
      <xdr:row>11</xdr:row>
      <xdr:rowOff>28575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2181225" y="1514475"/>
          <a:ext cx="5524500" cy="609600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323850</xdr:colOff>
      <xdr:row>7</xdr:row>
      <xdr:rowOff>171450</xdr:rowOff>
    </xdr:from>
    <xdr:to>
      <xdr:col>18</xdr:col>
      <xdr:colOff>581025</xdr:colOff>
      <xdr:row>12</xdr:row>
      <xdr:rowOff>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2152650" y="1504950"/>
          <a:ext cx="9401175" cy="7810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581025</xdr:colOff>
      <xdr:row>26</xdr:row>
      <xdr:rowOff>47625</xdr:rowOff>
    </xdr:from>
    <xdr:to>
      <xdr:col>17</xdr:col>
      <xdr:colOff>63675</xdr:colOff>
      <xdr:row>36</xdr:row>
      <xdr:rowOff>56988</xdr:rowOff>
    </xdr:to>
    <xdr:pic>
      <xdr:nvPicPr>
        <xdr:cNvPr id="21" name="Picture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77025" y="5000625"/>
          <a:ext cx="3749850" cy="1895313"/>
        </a:xfrm>
        <a:prstGeom prst="rect">
          <a:avLst/>
        </a:prstGeom>
      </xdr:spPr>
    </xdr:pic>
    <xdr:clientData/>
  </xdr:twoCellAnchor>
  <xdr:twoCellAnchor>
    <xdr:from>
      <xdr:col>2</xdr:col>
      <xdr:colOff>295275</xdr:colOff>
      <xdr:row>13</xdr:row>
      <xdr:rowOff>133350</xdr:rowOff>
    </xdr:from>
    <xdr:to>
      <xdr:col>8</xdr:col>
      <xdr:colOff>228600</xdr:colOff>
      <xdr:row>35</xdr:row>
      <xdr:rowOff>114300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>
          <a:off x="1514475" y="2609850"/>
          <a:ext cx="3590925" cy="4152900"/>
        </a:xfrm>
        <a:prstGeom prst="line">
          <a:avLst/>
        </a:prstGeom>
        <a:ln w="9525" cap="flat" cmpd="sng" algn="ctr">
          <a:solidFill>
            <a:schemeClr val="accent4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333375</xdr:colOff>
      <xdr:row>13</xdr:row>
      <xdr:rowOff>85725</xdr:rowOff>
    </xdr:from>
    <xdr:to>
      <xdr:col>25</xdr:col>
      <xdr:colOff>76200</xdr:colOff>
      <xdr:row>36</xdr:row>
      <xdr:rowOff>123825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H="1">
          <a:off x="12525375" y="2562225"/>
          <a:ext cx="2790825" cy="4400550"/>
        </a:xfrm>
        <a:prstGeom prst="line">
          <a:avLst/>
        </a:prstGeom>
        <a:ln w="9525" cap="flat" cmpd="sng" algn="ctr">
          <a:solidFill>
            <a:schemeClr val="accent5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414111</xdr:colOff>
      <xdr:row>11</xdr:row>
      <xdr:rowOff>99334</xdr:rowOff>
    </xdr:from>
    <xdr:to>
      <xdr:col>14</xdr:col>
      <xdr:colOff>471262</xdr:colOff>
      <xdr:row>15</xdr:row>
      <xdr:rowOff>22679</xdr:rowOff>
    </xdr:to>
    <xdr:sp macro="[0]!Coversheet_values" textlink="">
      <xdr:nvSpPr>
        <xdr:cNvPr id="7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149647" y="2219780"/>
          <a:ext cx="1894115" cy="694417"/>
        </a:xfrm>
        <a:prstGeom prst="rect">
          <a:avLst/>
        </a:prstGeom>
        <a:ln w="12700"/>
        <a:effectLst>
          <a:glow rad="101600">
            <a:schemeClr val="accent2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rgbClr val="FFC000"/>
              </a:solidFill>
            </a:rPr>
            <a:t>Ticket</a:t>
          </a:r>
          <a:r>
            <a:rPr lang="en-GB" sz="1800" b="1" baseline="0">
              <a:solidFill>
                <a:srgbClr val="FFC000"/>
              </a:solidFill>
            </a:rPr>
            <a:t> Holder Detail</a:t>
          </a:r>
          <a:endParaRPr lang="en-GB" sz="1800" b="1">
            <a:solidFill>
              <a:srgbClr val="FFC000"/>
            </a:solidFill>
          </a:endParaRPr>
        </a:p>
      </xdr:txBody>
    </xdr:sp>
    <xdr:clientData/>
  </xdr:twoCellAnchor>
  <xdr:twoCellAnchor editAs="oneCell">
    <xdr:from>
      <xdr:col>4</xdr:col>
      <xdr:colOff>95250</xdr:colOff>
      <xdr:row>1</xdr:row>
      <xdr:rowOff>152400</xdr:rowOff>
    </xdr:from>
    <xdr:to>
      <xdr:col>24</xdr:col>
      <xdr:colOff>166138</xdr:colOff>
      <xdr:row>9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3650" y="914400"/>
          <a:ext cx="12262888" cy="152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444580</xdr:colOff>
      <xdr:row>2</xdr:row>
      <xdr:rowOff>95250</xdr:rowOff>
    </xdr:from>
    <xdr:to>
      <xdr:col>21</xdr:col>
      <xdr:colOff>333373</xdr:colOff>
      <xdr:row>8</xdr:row>
      <xdr:rowOff>73426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26980" y="1047750"/>
          <a:ext cx="1107993" cy="1121176"/>
        </a:xfrm>
        <a:prstGeom prst="rect">
          <a:avLst/>
        </a:prstGeom>
      </xdr:spPr>
    </xdr:pic>
    <xdr:clientData/>
  </xdr:twoCellAnchor>
  <xdr:twoCellAnchor>
    <xdr:from>
      <xdr:col>6</xdr:col>
      <xdr:colOff>322944</xdr:colOff>
      <xdr:row>16</xdr:row>
      <xdr:rowOff>146958</xdr:rowOff>
    </xdr:from>
    <xdr:to>
      <xdr:col>9</xdr:col>
      <xdr:colOff>141969</xdr:colOff>
      <xdr:row>19</xdr:row>
      <xdr:rowOff>70758</xdr:rowOff>
    </xdr:to>
    <xdr:sp macro="[0]!Coversheet_values" textlink="">
      <xdr:nvSpPr>
        <xdr:cNvPr id="11" name="Rectangle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 rot="337169">
          <a:off x="3996873" y="3231244"/>
          <a:ext cx="1655989" cy="502103"/>
        </a:xfrm>
        <a:prstGeom prst="rect">
          <a:avLst/>
        </a:prstGeom>
        <a:ln w="12700"/>
        <a:effectLst>
          <a:glow rad="101600">
            <a:schemeClr val="accent2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rgbClr val="FFC000"/>
              </a:solidFill>
            </a:rPr>
            <a:t>Summary</a:t>
          </a:r>
        </a:p>
      </xdr:txBody>
    </xdr:sp>
    <xdr:clientData/>
  </xdr:twoCellAnchor>
  <xdr:twoCellAnchor>
    <xdr:from>
      <xdr:col>11</xdr:col>
      <xdr:colOff>463096</xdr:colOff>
      <xdr:row>32</xdr:row>
      <xdr:rowOff>162833</xdr:rowOff>
    </xdr:from>
    <xdr:to>
      <xdr:col>14</xdr:col>
      <xdr:colOff>282121</xdr:colOff>
      <xdr:row>35</xdr:row>
      <xdr:rowOff>86634</xdr:rowOff>
    </xdr:to>
    <xdr:sp macro="[0]!Coversheet_values" textlink="">
      <xdr:nvSpPr>
        <xdr:cNvPr id="12" name="Rectangle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923776">
          <a:off x="7198632" y="6308726"/>
          <a:ext cx="1655989" cy="502104"/>
        </a:xfrm>
        <a:prstGeom prst="rect">
          <a:avLst/>
        </a:prstGeom>
        <a:ln w="12700"/>
        <a:effectLst>
          <a:glow rad="101600">
            <a:schemeClr val="accent2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rgbClr val="FFC000"/>
              </a:solidFill>
            </a:rPr>
            <a:t>End</a:t>
          </a:r>
        </a:p>
      </xdr:txBody>
    </xdr:sp>
    <xdr:clientData/>
  </xdr:twoCellAnchor>
  <xdr:twoCellAnchor>
    <xdr:from>
      <xdr:col>7</xdr:col>
      <xdr:colOff>563201</xdr:colOff>
      <xdr:row>13</xdr:row>
      <xdr:rowOff>61007</xdr:rowOff>
    </xdr:from>
    <xdr:to>
      <xdr:col>11</xdr:col>
      <xdr:colOff>414111</xdr:colOff>
      <xdr:row>16</xdr:row>
      <xdr:rowOff>148165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>
          <a:stCxn id="7" idx="1"/>
          <a:endCxn id="11" idx="0"/>
        </xdr:cNvCxnSpPr>
      </xdr:nvCxnSpPr>
      <xdr:spPr>
        <a:xfrm flipH="1">
          <a:off x="4849451" y="2566989"/>
          <a:ext cx="2300196" cy="6654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514035</xdr:colOff>
      <xdr:row>19</xdr:row>
      <xdr:rowOff>69552</xdr:rowOff>
    </xdr:from>
    <xdr:to>
      <xdr:col>11</xdr:col>
      <xdr:colOff>492810</xdr:colOff>
      <xdr:row>33</xdr:row>
      <xdr:rowOff>1290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>
          <a:stCxn id="11" idx="2"/>
          <a:endCxn id="12" idx="1"/>
        </xdr:cNvCxnSpPr>
      </xdr:nvCxnSpPr>
      <xdr:spPr>
        <a:xfrm>
          <a:off x="4800285" y="3732141"/>
          <a:ext cx="2428061" cy="260781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471262</xdr:colOff>
      <xdr:row>13</xdr:row>
      <xdr:rowOff>61007</xdr:rowOff>
    </xdr:from>
    <xdr:to>
      <xdr:col>17</xdr:col>
      <xdr:colOff>518696</xdr:colOff>
      <xdr:row>15</xdr:row>
      <xdr:rowOff>157647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>
          <a:stCxn id="7" idx="3"/>
          <a:endCxn id="44" idx="0"/>
        </xdr:cNvCxnSpPr>
      </xdr:nvCxnSpPr>
      <xdr:spPr>
        <a:xfrm>
          <a:off x="9043762" y="2566989"/>
          <a:ext cx="1884398" cy="48217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571740</xdr:colOff>
      <xdr:row>24</xdr:row>
      <xdr:rowOff>38432</xdr:rowOff>
    </xdr:from>
    <xdr:to>
      <xdr:col>13</xdr:col>
      <xdr:colOff>133101</xdr:colOff>
      <xdr:row>32</xdr:row>
      <xdr:rowOff>171843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>
          <a:stCxn id="42" idx="2"/>
          <a:endCxn id="12" idx="0"/>
        </xdr:cNvCxnSpPr>
      </xdr:nvCxnSpPr>
      <xdr:spPr>
        <a:xfrm>
          <a:off x="7919597" y="4664861"/>
          <a:ext cx="173683" cy="16528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76200</xdr:colOff>
      <xdr:row>1</xdr:row>
      <xdr:rowOff>85725</xdr:rowOff>
    </xdr:from>
    <xdr:to>
      <xdr:col>26</xdr:col>
      <xdr:colOff>561975</xdr:colOff>
      <xdr:row>10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295400" y="276225"/>
          <a:ext cx="15116175" cy="1628775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489558</xdr:colOff>
      <xdr:row>36</xdr:row>
      <xdr:rowOff>146543</xdr:rowOff>
    </xdr:from>
    <xdr:to>
      <xdr:col>15</xdr:col>
      <xdr:colOff>523582</xdr:colOff>
      <xdr:row>42</xdr:row>
      <xdr:rowOff>156110</xdr:rowOff>
    </xdr:to>
    <xdr:grpSp>
      <xdr:nvGrpSpPr>
        <xdr:cNvPr id="30" name="Group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pSpPr/>
      </xdr:nvGrpSpPr>
      <xdr:grpSpPr>
        <a:xfrm>
          <a:off x="6748844" y="6659829"/>
          <a:ext cx="3163667" cy="1098138"/>
          <a:chOff x="1828800" y="4533900"/>
          <a:chExt cx="3137476" cy="1334258"/>
        </a:xfrm>
      </xdr:grpSpPr>
      <xdr:pic>
        <xdr:nvPicPr>
          <xdr:cNvPr id="28" name="Picture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28800" y="4533900"/>
            <a:ext cx="3137476" cy="1334258"/>
          </a:xfrm>
          <a:prstGeom prst="rect">
            <a:avLst/>
          </a:prstGeom>
        </xdr:spPr>
      </xdr:pic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 txBox="1"/>
        </xdr:nvSpPr>
        <xdr:spPr>
          <a:xfrm>
            <a:off x="2543175" y="4934640"/>
            <a:ext cx="1438275" cy="4680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en-GB" sz="2400" b="1">
                <a:solidFill>
                  <a:schemeClr val="accent2">
                    <a:lumMod val="40000"/>
                    <a:lumOff val="60000"/>
                  </a:schemeClr>
                </a:solidFill>
              </a:rPr>
              <a:t>Cover</a:t>
            </a:r>
            <a:endParaRPr lang="en-GB" sz="1400" b="1">
              <a:solidFill>
                <a:schemeClr val="accent2">
                  <a:lumMod val="40000"/>
                  <a:lumOff val="60000"/>
                </a:schemeClr>
              </a:solidFill>
            </a:endParaRPr>
          </a:p>
        </xdr:txBody>
      </xdr:sp>
    </xdr:grpSp>
    <xdr:clientData/>
  </xdr:twoCellAnchor>
  <xdr:twoCellAnchor>
    <xdr:from>
      <xdr:col>11</xdr:col>
      <xdr:colOff>424995</xdr:colOff>
      <xdr:row>21</xdr:row>
      <xdr:rowOff>124281</xdr:rowOff>
    </xdr:from>
    <xdr:to>
      <xdr:col>14</xdr:col>
      <xdr:colOff>244020</xdr:colOff>
      <xdr:row>24</xdr:row>
      <xdr:rowOff>48080</xdr:rowOff>
    </xdr:to>
    <xdr:sp macro="[0]!Coversheet_values" textlink="">
      <xdr:nvSpPr>
        <xdr:cNvPr id="42" name="Rectangle 4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 rot="956158">
          <a:off x="7160531" y="4172406"/>
          <a:ext cx="1655989" cy="502103"/>
        </a:xfrm>
        <a:prstGeom prst="rect">
          <a:avLst/>
        </a:prstGeom>
        <a:ln w="12700"/>
        <a:effectLst>
          <a:glow rad="101600">
            <a:schemeClr val="accent2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rgbClr val="FFC000"/>
              </a:solidFill>
            </a:rPr>
            <a:t>Charts</a:t>
          </a:r>
        </a:p>
      </xdr:txBody>
    </xdr:sp>
    <xdr:clientData/>
  </xdr:twoCellAnchor>
  <xdr:twoCellAnchor>
    <xdr:from>
      <xdr:col>16</xdr:col>
      <xdr:colOff>339014</xdr:colOff>
      <xdr:row>15</xdr:row>
      <xdr:rowOff>155821</xdr:rowOff>
    </xdr:from>
    <xdr:to>
      <xdr:col>19</xdr:col>
      <xdr:colOff>158039</xdr:colOff>
      <xdr:row>19</xdr:row>
      <xdr:rowOff>96097</xdr:rowOff>
    </xdr:to>
    <xdr:sp macro="[0]!Coversheet_values" textlink="">
      <xdr:nvSpPr>
        <xdr:cNvPr id="44" name="Rectangle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 rot="21251522">
          <a:off x="10136157" y="3047339"/>
          <a:ext cx="1655989" cy="711347"/>
        </a:xfrm>
        <a:prstGeom prst="rect">
          <a:avLst/>
        </a:prstGeom>
        <a:ln w="12700"/>
        <a:effectLst>
          <a:glow rad="101600">
            <a:schemeClr val="accent2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rgbClr val="FFC000"/>
              </a:solidFill>
            </a:rPr>
            <a:t>Season</a:t>
          </a:r>
          <a:r>
            <a:rPr lang="en-GB" sz="1800" b="1" baseline="0">
              <a:solidFill>
                <a:srgbClr val="FFC000"/>
              </a:solidFill>
            </a:rPr>
            <a:t> Ticket Details</a:t>
          </a:r>
          <a:endParaRPr lang="en-GB" sz="1800" b="1">
            <a:solidFill>
              <a:srgbClr val="FFC000"/>
            </a:solidFill>
          </a:endParaRPr>
        </a:p>
      </xdr:txBody>
    </xdr:sp>
    <xdr:clientData/>
  </xdr:twoCellAnchor>
  <xdr:twoCellAnchor>
    <xdr:from>
      <xdr:col>13</xdr:col>
      <xdr:colOff>97276</xdr:colOff>
      <xdr:row>19</xdr:row>
      <xdr:rowOff>94271</xdr:rowOff>
    </xdr:from>
    <xdr:to>
      <xdr:col>17</xdr:col>
      <xdr:colOff>590680</xdr:colOff>
      <xdr:row>21</xdr:row>
      <xdr:rowOff>133929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>
          <a:stCxn id="42" idx="0"/>
          <a:endCxn id="44" idx="2"/>
        </xdr:cNvCxnSpPr>
      </xdr:nvCxnSpPr>
      <xdr:spPr>
        <a:xfrm flipV="1">
          <a:off x="8057455" y="3756860"/>
          <a:ext cx="2942689" cy="42519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19050</xdr:rowOff>
    </xdr:from>
    <xdr:to>
      <xdr:col>10</xdr:col>
      <xdr:colOff>0</xdr:colOff>
      <xdr:row>3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575" y="19050"/>
          <a:ext cx="11029950" cy="704850"/>
        </a:xfrm>
        <a:prstGeom prst="rect">
          <a:avLst/>
        </a:prstGeom>
        <a:noFill/>
        <a:ln w="28575">
          <a:solidFill>
            <a:schemeClr val="bg2">
              <a:lumMod val="1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10</xdr:col>
      <xdr:colOff>66675</xdr:colOff>
      <xdr:row>0</xdr:row>
      <xdr:rowOff>0</xdr:rowOff>
    </xdr:from>
    <xdr:to>
      <xdr:col>11</xdr:col>
      <xdr:colOff>163046</xdr:colOff>
      <xdr:row>2</xdr:row>
      <xdr:rowOff>152400</xdr:rowOff>
    </xdr:to>
    <xdr:pic macro="[0]!Full_Table"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3400" y="0"/>
          <a:ext cx="1125071" cy="685800"/>
        </a:xfrm>
        <a:prstGeom prst="rect">
          <a:avLst/>
        </a:prstGeom>
      </xdr:spPr>
    </xdr:pic>
    <xdr:clientData/>
  </xdr:twoCellAnchor>
  <xdr:twoCellAnchor editAs="oneCell">
    <xdr:from>
      <xdr:col>11</xdr:col>
      <xdr:colOff>114301</xdr:colOff>
      <xdr:row>0</xdr:row>
      <xdr:rowOff>0</xdr:rowOff>
    </xdr:from>
    <xdr:to>
      <xdr:col>12</xdr:col>
      <xdr:colOff>371476</xdr:colOff>
      <xdr:row>2</xdr:row>
      <xdr:rowOff>171450</xdr:rowOff>
    </xdr:to>
    <xdr:pic macro="[0]!Yes_Value"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87351" y="0"/>
          <a:ext cx="1257300" cy="704850"/>
        </a:xfrm>
        <a:prstGeom prst="rect">
          <a:avLst/>
        </a:prstGeom>
      </xdr:spPr>
    </xdr:pic>
    <xdr:clientData/>
  </xdr:twoCellAnchor>
  <xdr:twoCellAnchor editAs="oneCell">
    <xdr:from>
      <xdr:col>12</xdr:col>
      <xdr:colOff>257174</xdr:colOff>
      <xdr:row>0</xdr:row>
      <xdr:rowOff>0</xdr:rowOff>
    </xdr:from>
    <xdr:to>
      <xdr:col>13</xdr:col>
      <xdr:colOff>600075</xdr:colOff>
      <xdr:row>2</xdr:row>
      <xdr:rowOff>152400</xdr:rowOff>
    </xdr:to>
    <xdr:pic macro="[0]!No_values"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06549" y="0"/>
          <a:ext cx="1343026" cy="685800"/>
        </a:xfrm>
        <a:prstGeom prst="rect">
          <a:avLst/>
        </a:prstGeom>
      </xdr:spPr>
    </xdr:pic>
    <xdr:clientData/>
  </xdr:twoCellAnchor>
  <xdr:twoCellAnchor>
    <xdr:from>
      <xdr:col>0</xdr:col>
      <xdr:colOff>86591</xdr:colOff>
      <xdr:row>0</xdr:row>
      <xdr:rowOff>84365</xdr:rowOff>
    </xdr:from>
    <xdr:to>
      <xdr:col>1</xdr:col>
      <xdr:colOff>550719</xdr:colOff>
      <xdr:row>1</xdr:row>
      <xdr:rowOff>217962</xdr:rowOff>
    </xdr:to>
    <xdr:sp macro="" textlink="">
      <xdr:nvSpPr>
        <xdr:cNvPr id="8" name="Rectangl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86591" y="84365"/>
          <a:ext cx="1117271" cy="405740"/>
        </a:xfrm>
        <a:prstGeom prst="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 cap="none" spc="0">
              <a:ln w="22225">
                <a:noFill/>
                <a:prstDash val="solid"/>
              </a:ln>
              <a:solidFill>
                <a:srgbClr val="FFFF00"/>
              </a:solidFill>
              <a:effectLst/>
            </a:rPr>
            <a:t>Main</a:t>
          </a:r>
          <a:r>
            <a:rPr lang="en-GB" sz="1100" b="1" cap="none" spc="0">
              <a:ln w="22225">
                <a:solidFill>
                  <a:schemeClr val="tx1"/>
                </a:solidFill>
                <a:prstDash val="solid"/>
              </a:ln>
              <a:solidFill>
                <a:srgbClr val="FFFF00"/>
              </a:solidFill>
              <a:effectLst/>
            </a:rPr>
            <a:t> </a:t>
          </a:r>
          <a:r>
            <a:rPr lang="en-GB" sz="1100" b="1" cap="none" spc="0">
              <a:ln w="22225">
                <a:noFill/>
                <a:prstDash val="solid"/>
              </a:ln>
              <a:solidFill>
                <a:srgbClr val="FFFF00"/>
              </a:solidFill>
              <a:effectLst/>
            </a:rPr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117230</xdr:colOff>
      <xdr:row>0</xdr:row>
      <xdr:rowOff>73269</xdr:rowOff>
    </xdr:from>
    <xdr:to>
      <xdr:col>7</xdr:col>
      <xdr:colOff>21981</xdr:colOff>
      <xdr:row>2</xdr:row>
      <xdr:rowOff>43961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337288" y="73269"/>
          <a:ext cx="3377712" cy="454269"/>
        </a:xfrm>
        <a:prstGeom prst="rect">
          <a:avLst/>
        </a:prstGeom>
        <a:ln>
          <a:solidFill>
            <a:srgbClr val="7030A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3200"/>
            <a:t>Summary ...</a:t>
          </a:r>
          <a:endParaRPr lang="en-GB" sz="1100"/>
        </a:p>
      </xdr:txBody>
    </xdr:sp>
    <xdr:clientData/>
  </xdr:twoCellAnchor>
  <xdr:twoCellAnchor editAs="oneCell">
    <xdr:from>
      <xdr:col>0</xdr:col>
      <xdr:colOff>95249</xdr:colOff>
      <xdr:row>0</xdr:row>
      <xdr:rowOff>29308</xdr:rowOff>
    </xdr:from>
    <xdr:to>
      <xdr:col>1</xdr:col>
      <xdr:colOff>505557</xdr:colOff>
      <xdr:row>1</xdr:row>
      <xdr:rowOff>139213</xdr:rowOff>
    </xdr:to>
    <xdr:pic>
      <xdr:nvPicPr>
        <xdr:cNvPr id="7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49" y="29308"/>
          <a:ext cx="1018443" cy="300405"/>
        </a:xfrm>
        <a:prstGeom prst="rect">
          <a:avLst/>
        </a:prstGeom>
      </xdr:spPr>
    </xdr:pic>
    <xdr:clientData/>
  </xdr:twoCellAnchor>
  <xdr:twoCellAnchor>
    <xdr:from>
      <xdr:col>6</xdr:col>
      <xdr:colOff>1</xdr:colOff>
      <xdr:row>3</xdr:row>
      <xdr:rowOff>14654</xdr:rowOff>
    </xdr:from>
    <xdr:to>
      <xdr:col>7</xdr:col>
      <xdr:colOff>600809</xdr:colOff>
      <xdr:row>7</xdr:row>
      <xdr:rowOff>7327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070232" y="688731"/>
          <a:ext cx="1208942" cy="754673"/>
        </a:xfrm>
        <a:prstGeom prst="rect">
          <a:avLst/>
        </a:prstGeom>
        <a:noFill/>
        <a:ln w="28575">
          <a:solidFill>
            <a:srgbClr val="FF0000"/>
          </a:solidFill>
        </a:ln>
        <a:effectLst>
          <a:glow rad="635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608135</xdr:colOff>
      <xdr:row>2</xdr:row>
      <xdr:rowOff>175846</xdr:rowOff>
    </xdr:from>
    <xdr:to>
      <xdr:col>6</xdr:col>
      <xdr:colOff>168519</xdr:colOff>
      <xdr:row>7</xdr:row>
      <xdr:rowOff>58615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366847" y="659423"/>
          <a:ext cx="871903" cy="835269"/>
        </a:xfrm>
        <a:prstGeom prst="rightArrow">
          <a:avLst/>
        </a:prstGeom>
        <a:noFill/>
        <a:ln w="19050">
          <a:solidFill>
            <a:srgbClr val="7030A0"/>
          </a:solidFill>
        </a:ln>
        <a:effectLst>
          <a:glow rad="1016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498231</xdr:colOff>
      <xdr:row>7</xdr:row>
      <xdr:rowOff>161192</xdr:rowOff>
    </xdr:from>
    <xdr:to>
      <xdr:col>4</xdr:col>
      <xdr:colOff>227134</xdr:colOff>
      <xdr:row>11</xdr:row>
      <xdr:rowOff>80596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98231" y="1597269"/>
          <a:ext cx="3487615" cy="681404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439616</xdr:colOff>
      <xdr:row>15</xdr:row>
      <xdr:rowOff>153865</xdr:rowOff>
    </xdr:from>
    <xdr:to>
      <xdr:col>4</xdr:col>
      <xdr:colOff>168519</xdr:colOff>
      <xdr:row>19</xdr:row>
      <xdr:rowOff>73269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39616" y="3113942"/>
          <a:ext cx="3487615" cy="681404"/>
        </a:xfrm>
        <a:prstGeom prst="rect">
          <a:avLst/>
        </a:prstGeom>
        <a:noFill/>
        <a:ln w="28575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630115</xdr:colOff>
      <xdr:row>15</xdr:row>
      <xdr:rowOff>146538</xdr:rowOff>
    </xdr:from>
    <xdr:to>
      <xdr:col>7</xdr:col>
      <xdr:colOff>153866</xdr:colOff>
      <xdr:row>18</xdr:row>
      <xdr:rowOff>146538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4403480" y="3106615"/>
          <a:ext cx="1443405" cy="586154"/>
        </a:xfrm>
        <a:prstGeom prst="rect">
          <a:avLst/>
        </a:prstGeom>
        <a:noFill/>
        <a:ln w="2857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1033096</xdr:colOff>
      <xdr:row>3</xdr:row>
      <xdr:rowOff>14654</xdr:rowOff>
    </xdr:from>
    <xdr:to>
      <xdr:col>4</xdr:col>
      <xdr:colOff>51289</xdr:colOff>
      <xdr:row>7</xdr:row>
      <xdr:rowOff>29308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1641231" y="688731"/>
          <a:ext cx="2183423" cy="776654"/>
        </a:xfrm>
        <a:prstGeom prst="rect">
          <a:avLst/>
        </a:prstGeom>
        <a:noFill/>
        <a:ln w="28575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527539</xdr:colOff>
      <xdr:row>11</xdr:row>
      <xdr:rowOff>153865</xdr:rowOff>
    </xdr:from>
    <xdr:to>
      <xdr:col>4</xdr:col>
      <xdr:colOff>600808</xdr:colOff>
      <xdr:row>15</xdr:row>
      <xdr:rowOff>73269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27539" y="2351942"/>
          <a:ext cx="3846634" cy="681404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828675</xdr:colOff>
      <xdr:row>1</xdr:row>
      <xdr:rowOff>9525</xdr:rowOff>
    </xdr:from>
    <xdr:to>
      <xdr:col>8</xdr:col>
      <xdr:colOff>219075</xdr:colOff>
      <xdr:row>3</xdr:row>
      <xdr:rowOff>19050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762375" y="200025"/>
          <a:ext cx="2219325" cy="390525"/>
        </a:xfrm>
        <a:prstGeom prst="rect">
          <a:avLst/>
        </a:prstGeom>
        <a:noFill/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0</xdr:col>
      <xdr:colOff>104775</xdr:colOff>
      <xdr:row>0</xdr:row>
      <xdr:rowOff>95250</xdr:rowOff>
    </xdr:from>
    <xdr:to>
      <xdr:col>2</xdr:col>
      <xdr:colOff>13433</xdr:colOff>
      <xdr:row>2</xdr:row>
      <xdr:rowOff>110524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95250"/>
          <a:ext cx="1127858" cy="3962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6</xdr:row>
      <xdr:rowOff>57150</xdr:rowOff>
    </xdr:from>
    <xdr:to>
      <xdr:col>9</xdr:col>
      <xdr:colOff>104774</xdr:colOff>
      <xdr:row>24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28575</xdr:colOff>
      <xdr:row>6</xdr:row>
      <xdr:rowOff>76201</xdr:rowOff>
    </xdr:from>
    <xdr:to>
      <xdr:col>17</xdr:col>
      <xdr:colOff>345964</xdr:colOff>
      <xdr:row>24</xdr:row>
      <xdr:rowOff>19051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24575" y="1219201"/>
          <a:ext cx="4584589" cy="3371850"/>
        </a:xfrm>
        <a:prstGeom prst="rect">
          <a:avLst/>
        </a:prstGeom>
      </xdr:spPr>
    </xdr:pic>
    <xdr:clientData/>
  </xdr:twoCellAnchor>
  <xdr:twoCellAnchor>
    <xdr:from>
      <xdr:col>9</xdr:col>
      <xdr:colOff>342900</xdr:colOff>
      <xdr:row>0</xdr:row>
      <xdr:rowOff>47625</xdr:rowOff>
    </xdr:from>
    <xdr:to>
      <xdr:col>14</xdr:col>
      <xdr:colOff>342900</xdr:colOff>
      <xdr:row>4</xdr:row>
      <xdr:rowOff>9525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5829300" y="47625"/>
          <a:ext cx="3048000" cy="723900"/>
        </a:xfrm>
        <a:prstGeom prst="rect">
          <a:avLst/>
        </a:prstGeom>
        <a:noFill/>
        <a:ln>
          <a:solidFill>
            <a:srgbClr val="7030A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123824</xdr:colOff>
      <xdr:row>0</xdr:row>
      <xdr:rowOff>76201</xdr:rowOff>
    </xdr:from>
    <xdr:to>
      <xdr:col>2</xdr:col>
      <xdr:colOff>9525</xdr:colOff>
      <xdr:row>2</xdr:row>
      <xdr:rowOff>38101</xdr:rowOff>
    </xdr:to>
    <xdr:sp macro="" textlink="">
      <xdr:nvSpPr>
        <xdr:cNvPr id="6" name="Rectangl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3824" y="76201"/>
          <a:ext cx="1104901" cy="342900"/>
        </a:xfrm>
        <a:prstGeom prst="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 cap="none" spc="0">
              <a:ln w="22225">
                <a:noFill/>
                <a:prstDash val="solid"/>
              </a:ln>
              <a:solidFill>
                <a:srgbClr val="FFFF00"/>
              </a:solidFill>
              <a:effectLst/>
            </a:rPr>
            <a:t>Main</a:t>
          </a:r>
          <a:r>
            <a:rPr lang="en-GB" sz="1100" b="1" cap="none" spc="0">
              <a:ln w="22225">
                <a:solidFill>
                  <a:schemeClr val="tx1"/>
                </a:solidFill>
                <a:prstDash val="solid"/>
              </a:ln>
              <a:solidFill>
                <a:srgbClr val="FFFF00"/>
              </a:solidFill>
              <a:effectLst/>
            </a:rPr>
            <a:t> </a:t>
          </a:r>
          <a:r>
            <a:rPr lang="en-GB" sz="1100" b="1" cap="none" spc="0">
              <a:ln w="22225">
                <a:noFill/>
                <a:prstDash val="solid"/>
              </a:ln>
              <a:solidFill>
                <a:srgbClr val="FFFF00"/>
              </a:solidFill>
              <a:effectLst/>
            </a:rPr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342900</xdr:colOff>
      <xdr:row>25</xdr:row>
      <xdr:rowOff>19050</xdr:rowOff>
    </xdr:from>
    <xdr:to>
      <xdr:col>18</xdr:col>
      <xdr:colOff>533400</xdr:colOff>
      <xdr:row>32</xdr:row>
      <xdr:rowOff>85725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CxnSpPr/>
      </xdr:nvCxnSpPr>
      <xdr:spPr>
        <a:xfrm>
          <a:off x="6438900" y="4781550"/>
          <a:ext cx="5067300" cy="1400175"/>
        </a:xfrm>
        <a:prstGeom prst="line">
          <a:avLst/>
        </a:prstGeom>
        <a:ln>
          <a:solidFill>
            <a:schemeClr val="accent5">
              <a:lumMod val="20000"/>
              <a:lumOff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200025</xdr:colOff>
      <xdr:row>21</xdr:row>
      <xdr:rowOff>161926</xdr:rowOff>
    </xdr:from>
    <xdr:to>
      <xdr:col>20</xdr:col>
      <xdr:colOff>200025</xdr:colOff>
      <xdr:row>35</xdr:row>
      <xdr:rowOff>28575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CxnSpPr/>
      </xdr:nvCxnSpPr>
      <xdr:spPr>
        <a:xfrm flipV="1">
          <a:off x="9344025" y="4162426"/>
          <a:ext cx="3048000" cy="2533649"/>
        </a:xfrm>
        <a:prstGeom prst="line">
          <a:avLst/>
        </a:prstGeom>
        <a:ln>
          <a:solidFill>
            <a:schemeClr val="accent5">
              <a:lumMod val="20000"/>
              <a:lumOff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323850</xdr:colOff>
      <xdr:row>11</xdr:row>
      <xdr:rowOff>9525</xdr:rowOff>
    </xdr:from>
    <xdr:to>
      <xdr:col>18</xdr:col>
      <xdr:colOff>314325</xdr:colOff>
      <xdr:row>23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CxnSpPr/>
      </xdr:nvCxnSpPr>
      <xdr:spPr>
        <a:xfrm flipV="1">
          <a:off x="6419850" y="2105025"/>
          <a:ext cx="4867275" cy="2362200"/>
        </a:xfrm>
        <a:prstGeom prst="line">
          <a:avLst/>
        </a:prstGeom>
        <a:ln>
          <a:solidFill>
            <a:schemeClr val="accent5">
              <a:lumMod val="20000"/>
              <a:lumOff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447675</xdr:colOff>
      <xdr:row>12</xdr:row>
      <xdr:rowOff>171450</xdr:rowOff>
    </xdr:from>
    <xdr:to>
      <xdr:col>20</xdr:col>
      <xdr:colOff>161925</xdr:colOff>
      <xdr:row>27</xdr:row>
      <xdr:rowOff>123825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CxnSpPr/>
      </xdr:nvCxnSpPr>
      <xdr:spPr>
        <a:xfrm>
          <a:off x="9591675" y="2457450"/>
          <a:ext cx="2762250" cy="2809875"/>
        </a:xfrm>
        <a:prstGeom prst="line">
          <a:avLst/>
        </a:prstGeom>
        <a:ln>
          <a:solidFill>
            <a:schemeClr val="accent5">
              <a:lumMod val="20000"/>
              <a:lumOff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342900</xdr:colOff>
      <xdr:row>16</xdr:row>
      <xdr:rowOff>95250</xdr:rowOff>
    </xdr:from>
    <xdr:to>
      <xdr:col>12</xdr:col>
      <xdr:colOff>180975</xdr:colOff>
      <xdr:row>30</xdr:row>
      <xdr:rowOff>142875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CxnSpPr/>
      </xdr:nvCxnSpPr>
      <xdr:spPr>
        <a:xfrm>
          <a:off x="7048500" y="3143250"/>
          <a:ext cx="447675" cy="2714625"/>
        </a:xfrm>
        <a:prstGeom prst="line">
          <a:avLst/>
        </a:prstGeom>
        <a:ln>
          <a:solidFill>
            <a:schemeClr val="accent5">
              <a:lumMod val="20000"/>
              <a:lumOff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142875</xdr:colOff>
      <xdr:row>0</xdr:row>
      <xdr:rowOff>152400</xdr:rowOff>
    </xdr:from>
    <xdr:to>
      <xdr:col>2</xdr:col>
      <xdr:colOff>45436</xdr:colOff>
      <xdr:row>2</xdr:row>
      <xdr:rowOff>124999</xdr:rowOff>
    </xdr:to>
    <xdr:pic>
      <xdr:nvPicPr>
        <xdr:cNvPr id="7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875" y="152400"/>
          <a:ext cx="1121761" cy="3535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30:B32"/>
  <sheetViews>
    <sheetView topLeftCell="A16" zoomScale="82" zoomScaleNormal="82" workbookViewId="0">
      <selection activeCell="B30" sqref="B30"/>
    </sheetView>
  </sheetViews>
  <sheetFormatPr defaultColWidth="9.109375" defaultRowHeight="14.4" x14ac:dyDescent="0.3"/>
  <cols>
    <col min="1" max="16384" width="9.109375" style="1"/>
  </cols>
  <sheetData>
    <row r="30" spans="2:2" x14ac:dyDescent="0.3">
      <c r="B30" s="4"/>
    </row>
    <row r="32" spans="2:2" ht="13.5" customHeight="1" x14ac:dyDescent="0.3"/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D3:Z32"/>
  <sheetViews>
    <sheetView tabSelected="1" topLeftCell="A19" zoomScale="84" zoomScaleNormal="84" workbookViewId="0"/>
  </sheetViews>
  <sheetFormatPr defaultColWidth="9.109375" defaultRowHeight="14.4" x14ac:dyDescent="0.3"/>
  <cols>
    <col min="1" max="16384" width="9.109375" style="1"/>
  </cols>
  <sheetData>
    <row r="3" spans="4:26" x14ac:dyDescent="0.3">
      <c r="Z3" s="3"/>
    </row>
    <row r="9" spans="4:26" x14ac:dyDescent="0.3">
      <c r="D9" s="2"/>
    </row>
    <row r="32" ht="13.5" customHeight="1" x14ac:dyDescent="0.3"/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 filterMode="1"/>
  <dimension ref="A1:N57"/>
  <sheetViews>
    <sheetView zoomScaleNormal="100" workbookViewId="0">
      <selection activeCell="K59" sqref="K59"/>
    </sheetView>
  </sheetViews>
  <sheetFormatPr defaultColWidth="9.109375" defaultRowHeight="14.4" x14ac:dyDescent="0.3"/>
  <cols>
    <col min="1" max="1" width="5" style="7" bestFit="1" customWidth="1"/>
    <col min="2" max="2" width="11.88671875" style="7" bestFit="1" customWidth="1"/>
    <col min="3" max="3" width="13.6640625" style="7" bestFit="1" customWidth="1"/>
    <col min="4" max="4" width="27.44140625" style="7" bestFit="1" customWidth="1"/>
    <col min="5" max="5" width="10.33203125" style="7" bestFit="1" customWidth="1"/>
    <col min="6" max="6" width="30.88671875" style="7" bestFit="1" customWidth="1"/>
    <col min="7" max="7" width="14" style="7" bestFit="1" customWidth="1"/>
    <col min="8" max="8" width="5.6640625" style="7" customWidth="1"/>
    <col min="9" max="9" width="9.109375" style="7" customWidth="1"/>
    <col min="10" max="10" width="12.88671875" style="7" customWidth="1"/>
    <col min="11" max="11" width="15.44140625" style="7" customWidth="1"/>
    <col min="12" max="13" width="15" style="7" bestFit="1" customWidth="1"/>
    <col min="14" max="14" width="11.88671875" style="7" bestFit="1" customWidth="1"/>
    <col min="15" max="16384" width="9.109375" style="7"/>
  </cols>
  <sheetData>
    <row r="1" spans="1:14" ht="21" customHeight="1" x14ac:dyDescent="0.3">
      <c r="A1" s="45" t="s">
        <v>0</v>
      </c>
      <c r="B1" s="46"/>
      <c r="C1" s="46"/>
      <c r="D1" s="46"/>
      <c r="E1" s="46"/>
      <c r="F1" s="46"/>
      <c r="G1" s="46"/>
      <c r="H1" s="46"/>
      <c r="I1" s="46"/>
      <c r="J1" s="46"/>
      <c r="K1" s="5"/>
      <c r="L1" s="6"/>
    </row>
    <row r="2" spans="1:14" ht="21" customHeight="1" x14ac:dyDescent="0.3">
      <c r="A2" s="46"/>
      <c r="B2" s="46"/>
      <c r="C2" s="46"/>
      <c r="D2" s="46"/>
      <c r="E2" s="46"/>
      <c r="F2" s="46"/>
      <c r="G2" s="46"/>
      <c r="H2" s="46"/>
      <c r="I2" s="46"/>
      <c r="J2" s="46"/>
      <c r="K2" s="5"/>
      <c r="L2" s="6"/>
    </row>
    <row r="3" spans="1:14" ht="15" customHeight="1" x14ac:dyDescent="0.3">
      <c r="A3" s="47"/>
      <c r="B3" s="46"/>
      <c r="C3" s="47"/>
      <c r="D3" s="47"/>
      <c r="E3" s="47"/>
      <c r="F3" s="47"/>
      <c r="G3" s="47"/>
      <c r="H3" s="47"/>
      <c r="I3" s="47"/>
      <c r="J3" s="47"/>
      <c r="K3" s="8"/>
      <c r="L3" s="6"/>
    </row>
    <row r="4" spans="1:14" ht="15" customHeight="1" x14ac:dyDescent="0.3">
      <c r="A4" s="23" t="s">
        <v>1</v>
      </c>
      <c r="B4" s="26" t="s">
        <v>2</v>
      </c>
      <c r="C4" s="24" t="s">
        <v>3</v>
      </c>
      <c r="D4" s="16" t="s">
        <v>4</v>
      </c>
      <c r="E4" s="24" t="s">
        <v>5</v>
      </c>
      <c r="F4" s="16" t="s">
        <v>6</v>
      </c>
      <c r="G4" s="24" t="s">
        <v>7</v>
      </c>
      <c r="H4" s="16" t="s">
        <v>8</v>
      </c>
      <c r="I4" s="23" t="s">
        <v>9</v>
      </c>
      <c r="J4" s="16" t="s">
        <v>10</v>
      </c>
      <c r="K4" s="23" t="s">
        <v>11</v>
      </c>
      <c r="L4" s="17" t="s">
        <v>12</v>
      </c>
      <c r="N4" s="25"/>
    </row>
    <row r="5" spans="1:14" ht="15" hidden="1" customHeight="1" x14ac:dyDescent="0.3">
      <c r="A5" s="10" t="s">
        <v>13</v>
      </c>
      <c r="B5" s="12" t="s">
        <v>14</v>
      </c>
      <c r="C5" s="10" t="s">
        <v>15</v>
      </c>
      <c r="D5" s="13" t="s">
        <v>16</v>
      </c>
      <c r="E5" s="10" t="s">
        <v>17</v>
      </c>
      <c r="F5" s="12" t="s">
        <v>18</v>
      </c>
      <c r="G5" s="11" t="s">
        <v>19</v>
      </c>
      <c r="H5" s="12">
        <v>32</v>
      </c>
      <c r="I5" s="10" t="s">
        <v>20</v>
      </c>
      <c r="J5" s="14">
        <f>VLOOKUP(K5,'Season Ticket Details'!$D$11:$E$26,2,FALSE)</f>
        <v>642</v>
      </c>
      <c r="K5" s="10" t="s">
        <v>21</v>
      </c>
      <c r="L5" s="15" t="s">
        <v>22</v>
      </c>
    </row>
    <row r="6" spans="1:14" hidden="1" x14ac:dyDescent="0.3">
      <c r="A6" s="10" t="s">
        <v>23</v>
      </c>
      <c r="B6" s="12" t="s">
        <v>24</v>
      </c>
      <c r="C6" s="10" t="s">
        <v>25</v>
      </c>
      <c r="D6" s="13" t="s">
        <v>26</v>
      </c>
      <c r="E6" s="10" t="s">
        <v>27</v>
      </c>
      <c r="F6" s="12" t="s">
        <v>28</v>
      </c>
      <c r="G6" s="11" t="s">
        <v>29</v>
      </c>
      <c r="H6" s="12">
        <v>63</v>
      </c>
      <c r="I6" s="10" t="s">
        <v>20</v>
      </c>
      <c r="J6" s="14">
        <f>VLOOKUP(K6,'Season Ticket Details'!$D$11:$E$26,2,FALSE)</f>
        <v>530</v>
      </c>
      <c r="K6" s="10" t="s">
        <v>30</v>
      </c>
      <c r="L6" s="12" t="s">
        <v>22</v>
      </c>
    </row>
    <row r="7" spans="1:14" hidden="1" x14ac:dyDescent="0.3">
      <c r="A7" s="10" t="s">
        <v>23</v>
      </c>
      <c r="B7" s="12" t="s">
        <v>31</v>
      </c>
      <c r="C7" s="10" t="s">
        <v>32</v>
      </c>
      <c r="D7" s="13" t="s">
        <v>33</v>
      </c>
      <c r="E7" s="10" t="s">
        <v>34</v>
      </c>
      <c r="F7" s="12" t="s">
        <v>35</v>
      </c>
      <c r="G7" s="11" t="s">
        <v>36</v>
      </c>
      <c r="H7" s="12">
        <v>56</v>
      </c>
      <c r="I7" s="10" t="s">
        <v>20</v>
      </c>
      <c r="J7" s="14">
        <f>VLOOKUP(K7,'Season Ticket Details'!$D$11:$E$26,2,FALSE)</f>
        <v>210</v>
      </c>
      <c r="K7" s="10" t="s">
        <v>37</v>
      </c>
      <c r="L7" s="12" t="s">
        <v>22</v>
      </c>
    </row>
    <row r="8" spans="1:14" ht="15" customHeight="1" x14ac:dyDescent="0.3">
      <c r="A8" s="10" t="s">
        <v>38</v>
      </c>
      <c r="B8" s="12" t="s">
        <v>39</v>
      </c>
      <c r="C8" s="10" t="s">
        <v>40</v>
      </c>
      <c r="D8" s="13" t="s">
        <v>41</v>
      </c>
      <c r="E8" s="10" t="s">
        <v>42</v>
      </c>
      <c r="F8" s="12" t="s">
        <v>43</v>
      </c>
      <c r="G8" s="11" t="s">
        <v>44</v>
      </c>
      <c r="H8" s="12">
        <v>33</v>
      </c>
      <c r="I8" s="10" t="s">
        <v>45</v>
      </c>
      <c r="J8" s="14">
        <f>VLOOKUP(K8,'Season Ticket Details'!$D$11:$E$26,2,FALSE)</f>
        <v>554</v>
      </c>
      <c r="K8" s="10" t="s">
        <v>46</v>
      </c>
      <c r="L8" s="12" t="s">
        <v>47</v>
      </c>
    </row>
    <row r="9" spans="1:14" hidden="1" x14ac:dyDescent="0.3">
      <c r="A9" s="10" t="s">
        <v>23</v>
      </c>
      <c r="B9" s="12" t="s">
        <v>48</v>
      </c>
      <c r="C9" s="10" t="s">
        <v>49</v>
      </c>
      <c r="D9" s="13" t="s">
        <v>50</v>
      </c>
      <c r="E9" s="10" t="s">
        <v>51</v>
      </c>
      <c r="F9" s="12" t="s">
        <v>52</v>
      </c>
      <c r="G9" s="11" t="s">
        <v>53</v>
      </c>
      <c r="H9" s="12">
        <v>43</v>
      </c>
      <c r="I9" s="10" t="s">
        <v>20</v>
      </c>
      <c r="J9" s="14">
        <f>VLOOKUP(K9,'Season Ticket Details'!$D$11:$E$26,2,FALSE)</f>
        <v>642</v>
      </c>
      <c r="K9" s="10" t="s">
        <v>21</v>
      </c>
      <c r="L9" s="12" t="s">
        <v>22</v>
      </c>
    </row>
    <row r="10" spans="1:14" hidden="1" x14ac:dyDescent="0.3">
      <c r="A10" s="10" t="s">
        <v>38</v>
      </c>
      <c r="B10" s="12" t="s">
        <v>54</v>
      </c>
      <c r="C10" s="10" t="s">
        <v>55</v>
      </c>
      <c r="D10" s="13" t="s">
        <v>56</v>
      </c>
      <c r="E10" s="10" t="s">
        <v>57</v>
      </c>
      <c r="F10" s="12" t="s">
        <v>58</v>
      </c>
      <c r="G10" s="11" t="s">
        <v>59</v>
      </c>
      <c r="H10" s="12">
        <v>17</v>
      </c>
      <c r="I10" s="10" t="s">
        <v>45</v>
      </c>
      <c r="J10" s="14">
        <f>VLOOKUP(K10,'Season Ticket Details'!$D$11:$E$26,2,FALSE)</f>
        <v>554</v>
      </c>
      <c r="K10" s="10" t="s">
        <v>46</v>
      </c>
      <c r="L10" s="12" t="s">
        <v>22</v>
      </c>
    </row>
    <row r="11" spans="1:14" ht="15" customHeight="1" x14ac:dyDescent="0.3">
      <c r="A11" s="10" t="s">
        <v>23</v>
      </c>
      <c r="B11" s="12" t="s">
        <v>60</v>
      </c>
      <c r="C11" s="10" t="s">
        <v>61</v>
      </c>
      <c r="D11" s="13" t="s">
        <v>62</v>
      </c>
      <c r="E11" s="10" t="s">
        <v>63</v>
      </c>
      <c r="F11" s="12" t="s">
        <v>64</v>
      </c>
      <c r="G11" s="11" t="s">
        <v>65</v>
      </c>
      <c r="H11" s="12">
        <v>28</v>
      </c>
      <c r="I11" s="10" t="s">
        <v>20</v>
      </c>
      <c r="J11" s="14">
        <f>VLOOKUP(K11,'Season Ticket Details'!$D$11:$E$26,2,FALSE)</f>
        <v>116</v>
      </c>
      <c r="K11" s="10" t="s">
        <v>66</v>
      </c>
      <c r="L11" s="12" t="s">
        <v>47</v>
      </c>
    </row>
    <row r="12" spans="1:14" hidden="1" x14ac:dyDescent="0.3">
      <c r="A12" s="10" t="s">
        <v>13</v>
      </c>
      <c r="B12" s="12" t="s">
        <v>67</v>
      </c>
      <c r="C12" s="10" t="s">
        <v>68</v>
      </c>
      <c r="D12" s="13" t="s">
        <v>69</v>
      </c>
      <c r="E12" s="10" t="s">
        <v>70</v>
      </c>
      <c r="F12" s="12" t="s">
        <v>71</v>
      </c>
      <c r="G12" s="11" t="s">
        <v>72</v>
      </c>
      <c r="H12" s="12">
        <v>25</v>
      </c>
      <c r="I12" s="10" t="s">
        <v>20</v>
      </c>
      <c r="J12" s="14">
        <f>VLOOKUP(K12,'Season Ticket Details'!$D$11:$E$26,2,FALSE)</f>
        <v>421</v>
      </c>
      <c r="K12" s="10" t="s">
        <v>73</v>
      </c>
      <c r="L12" s="12" t="s">
        <v>22</v>
      </c>
    </row>
    <row r="13" spans="1:14" hidden="1" x14ac:dyDescent="0.3">
      <c r="A13" s="10" t="s">
        <v>13</v>
      </c>
      <c r="B13" s="12" t="s">
        <v>74</v>
      </c>
      <c r="C13" s="10" t="s">
        <v>75</v>
      </c>
      <c r="D13" s="13" t="s">
        <v>76</v>
      </c>
      <c r="E13" s="10" t="s">
        <v>77</v>
      </c>
      <c r="F13" s="12" t="s">
        <v>78</v>
      </c>
      <c r="G13" s="11" t="s">
        <v>79</v>
      </c>
      <c r="H13" s="12">
        <v>61</v>
      </c>
      <c r="I13" s="10" t="s">
        <v>20</v>
      </c>
      <c r="J13" s="14">
        <f>VLOOKUP(K13,'Season Ticket Details'!$D$11:$E$26,2,FALSE)</f>
        <v>530</v>
      </c>
      <c r="K13" s="10" t="s">
        <v>30</v>
      </c>
      <c r="L13" s="12" t="s">
        <v>22</v>
      </c>
    </row>
    <row r="14" spans="1:14" hidden="1" x14ac:dyDescent="0.3">
      <c r="A14" s="10" t="s">
        <v>38</v>
      </c>
      <c r="B14" s="12" t="s">
        <v>80</v>
      </c>
      <c r="C14" s="10" t="s">
        <v>81</v>
      </c>
      <c r="D14" s="13" t="s">
        <v>82</v>
      </c>
      <c r="E14" s="10" t="s">
        <v>83</v>
      </c>
      <c r="F14" s="12" t="s">
        <v>84</v>
      </c>
      <c r="G14" s="11" t="s">
        <v>85</v>
      </c>
      <c r="H14" s="12">
        <v>16</v>
      </c>
      <c r="I14" s="10" t="s">
        <v>45</v>
      </c>
      <c r="J14" s="14">
        <f>VLOOKUP(K14,'Season Ticket Details'!$D$11:$E$26,2,FALSE)</f>
        <v>613</v>
      </c>
      <c r="K14" s="10" t="s">
        <v>86</v>
      </c>
      <c r="L14" s="12" t="s">
        <v>22</v>
      </c>
    </row>
    <row r="15" spans="1:14" hidden="1" x14ac:dyDescent="0.3">
      <c r="A15" s="10" t="s">
        <v>38</v>
      </c>
      <c r="B15" s="12" t="s">
        <v>87</v>
      </c>
      <c r="C15" s="10" t="s">
        <v>88</v>
      </c>
      <c r="D15" s="13" t="s">
        <v>89</v>
      </c>
      <c r="E15" s="10" t="s">
        <v>90</v>
      </c>
      <c r="F15" s="12" t="s">
        <v>91</v>
      </c>
      <c r="G15" s="11" t="s">
        <v>92</v>
      </c>
      <c r="H15" s="12">
        <v>51</v>
      </c>
      <c r="I15" s="10" t="s">
        <v>45</v>
      </c>
      <c r="J15" s="14">
        <f>VLOOKUP(K15,'Season Ticket Details'!$D$11:$E$26,2,FALSE)</f>
        <v>692</v>
      </c>
      <c r="K15" s="10" t="s">
        <v>93</v>
      </c>
      <c r="L15" s="12" t="s">
        <v>22</v>
      </c>
    </row>
    <row r="16" spans="1:14" hidden="1" x14ac:dyDescent="0.3">
      <c r="A16" s="10" t="s">
        <v>38</v>
      </c>
      <c r="B16" s="12" t="s">
        <v>94</v>
      </c>
      <c r="C16" s="10" t="s">
        <v>95</v>
      </c>
      <c r="D16" s="13" t="s">
        <v>96</v>
      </c>
      <c r="E16" s="10" t="s">
        <v>97</v>
      </c>
      <c r="F16" s="12" t="s">
        <v>98</v>
      </c>
      <c r="G16" s="11" t="s">
        <v>99</v>
      </c>
      <c r="H16" s="12">
        <v>19</v>
      </c>
      <c r="I16" s="10" t="s">
        <v>45</v>
      </c>
      <c r="J16" s="14">
        <f>VLOOKUP(K16,'Season Ticket Details'!$D$11:$E$26,2,FALSE)</f>
        <v>116</v>
      </c>
      <c r="K16" s="10" t="s">
        <v>66</v>
      </c>
      <c r="L16" s="12" t="s">
        <v>22</v>
      </c>
    </row>
    <row r="17" spans="1:12" hidden="1" x14ac:dyDescent="0.3">
      <c r="A17" s="10" t="s">
        <v>23</v>
      </c>
      <c r="B17" s="12" t="s">
        <v>100</v>
      </c>
      <c r="C17" s="10" t="s">
        <v>101</v>
      </c>
      <c r="D17" s="13" t="s">
        <v>102</v>
      </c>
      <c r="E17" s="10" t="s">
        <v>103</v>
      </c>
      <c r="F17" s="12" t="s">
        <v>104</v>
      </c>
      <c r="G17" s="11" t="s">
        <v>105</v>
      </c>
      <c r="H17" s="12">
        <v>15</v>
      </c>
      <c r="I17" s="10" t="s">
        <v>20</v>
      </c>
      <c r="J17" s="14">
        <f>VLOOKUP(K17,'Season Ticket Details'!$D$11:$E$26,2,FALSE)</f>
        <v>79</v>
      </c>
      <c r="K17" s="10" t="s">
        <v>106</v>
      </c>
      <c r="L17" s="12" t="s">
        <v>22</v>
      </c>
    </row>
    <row r="18" spans="1:12" ht="15" customHeight="1" x14ac:dyDescent="0.3">
      <c r="A18" s="10" t="s">
        <v>38</v>
      </c>
      <c r="B18" s="12" t="s">
        <v>107</v>
      </c>
      <c r="C18" s="10" t="s">
        <v>108</v>
      </c>
      <c r="D18" s="13" t="s">
        <v>109</v>
      </c>
      <c r="E18" s="10" t="s">
        <v>110</v>
      </c>
      <c r="F18" s="12" t="s">
        <v>111</v>
      </c>
      <c r="G18" s="11" t="s">
        <v>112</v>
      </c>
      <c r="H18" s="12">
        <v>33</v>
      </c>
      <c r="I18" s="10" t="s">
        <v>45</v>
      </c>
      <c r="J18" s="14">
        <f>VLOOKUP(K18,'Season Ticket Details'!$D$11:$E$26,2,FALSE)</f>
        <v>116</v>
      </c>
      <c r="K18" s="10" t="s">
        <v>66</v>
      </c>
      <c r="L18" s="12" t="s">
        <v>47</v>
      </c>
    </row>
    <row r="19" spans="1:12" hidden="1" x14ac:dyDescent="0.3">
      <c r="A19" s="10" t="s">
        <v>38</v>
      </c>
      <c r="B19" s="12" t="s">
        <v>113</v>
      </c>
      <c r="C19" s="10" t="s">
        <v>114</v>
      </c>
      <c r="D19" s="13" t="s">
        <v>115</v>
      </c>
      <c r="E19" s="10" t="s">
        <v>116</v>
      </c>
      <c r="F19" s="12" t="s">
        <v>117</v>
      </c>
      <c r="G19" s="11" t="s">
        <v>118</v>
      </c>
      <c r="H19" s="12">
        <v>22</v>
      </c>
      <c r="I19" s="10" t="s">
        <v>45</v>
      </c>
      <c r="J19" s="14">
        <f>VLOOKUP(K19,'Season Ticket Details'!$D$11:$E$26,2,FALSE)</f>
        <v>355</v>
      </c>
      <c r="K19" s="10" t="s">
        <v>119</v>
      </c>
      <c r="L19" s="12" t="s">
        <v>22</v>
      </c>
    </row>
    <row r="20" spans="1:12" hidden="1" x14ac:dyDescent="0.3">
      <c r="A20" s="10" t="s">
        <v>13</v>
      </c>
      <c r="B20" s="12" t="s">
        <v>120</v>
      </c>
      <c r="C20" s="10" t="s">
        <v>121</v>
      </c>
      <c r="D20" s="13" t="s">
        <v>122</v>
      </c>
      <c r="E20" s="10" t="s">
        <v>123</v>
      </c>
      <c r="F20" s="12" t="s">
        <v>124</v>
      </c>
      <c r="G20" s="11" t="s">
        <v>125</v>
      </c>
      <c r="H20" s="12">
        <v>37</v>
      </c>
      <c r="I20" s="10" t="s">
        <v>20</v>
      </c>
      <c r="J20" s="14">
        <f>VLOOKUP(K20,'Season Ticket Details'!$D$11:$E$26,2,FALSE)</f>
        <v>642</v>
      </c>
      <c r="K20" s="10" t="s">
        <v>21</v>
      </c>
      <c r="L20" s="12" t="s">
        <v>22</v>
      </c>
    </row>
    <row r="21" spans="1:12" hidden="1" x14ac:dyDescent="0.3">
      <c r="A21" s="10" t="s">
        <v>38</v>
      </c>
      <c r="B21" s="12" t="s">
        <v>126</v>
      </c>
      <c r="C21" s="10" t="s">
        <v>127</v>
      </c>
      <c r="D21" s="13" t="s">
        <v>128</v>
      </c>
      <c r="E21" s="10" t="s">
        <v>129</v>
      </c>
      <c r="F21" s="12" t="s">
        <v>130</v>
      </c>
      <c r="G21" s="11" t="s">
        <v>131</v>
      </c>
      <c r="H21" s="12">
        <v>67</v>
      </c>
      <c r="I21" s="10" t="s">
        <v>45</v>
      </c>
      <c r="J21" s="14">
        <f>VLOOKUP(K21,'Season Ticket Details'!$D$11:$E$26,2,FALSE)</f>
        <v>530</v>
      </c>
      <c r="K21" s="10" t="s">
        <v>30</v>
      </c>
      <c r="L21" s="12" t="s">
        <v>22</v>
      </c>
    </row>
    <row r="22" spans="1:12" hidden="1" x14ac:dyDescent="0.3">
      <c r="A22" s="10" t="s">
        <v>23</v>
      </c>
      <c r="B22" s="12" t="s">
        <v>132</v>
      </c>
      <c r="C22" s="10" t="s">
        <v>133</v>
      </c>
      <c r="D22" s="13" t="s">
        <v>134</v>
      </c>
      <c r="E22" s="10" t="s">
        <v>135</v>
      </c>
      <c r="F22" s="12" t="s">
        <v>136</v>
      </c>
      <c r="G22" s="11" t="s">
        <v>137</v>
      </c>
      <c r="H22" s="12">
        <v>72</v>
      </c>
      <c r="I22" s="10" t="s">
        <v>20</v>
      </c>
      <c r="J22" s="14">
        <f>VLOOKUP(K22,'Season Ticket Details'!$D$11:$E$26,2,FALSE)</f>
        <v>530</v>
      </c>
      <c r="K22" s="10" t="s">
        <v>30</v>
      </c>
      <c r="L22" s="12" t="s">
        <v>22</v>
      </c>
    </row>
    <row r="23" spans="1:12" hidden="1" x14ac:dyDescent="0.3">
      <c r="A23" s="10" t="s">
        <v>13</v>
      </c>
      <c r="B23" s="12" t="s">
        <v>138</v>
      </c>
      <c r="C23" s="10" t="s">
        <v>139</v>
      </c>
      <c r="D23" s="13" t="s">
        <v>140</v>
      </c>
      <c r="E23" s="10" t="s">
        <v>141</v>
      </c>
      <c r="F23" s="12" t="s">
        <v>142</v>
      </c>
      <c r="G23" s="11" t="s">
        <v>143</v>
      </c>
      <c r="H23" s="12">
        <v>51</v>
      </c>
      <c r="I23" s="10" t="s">
        <v>20</v>
      </c>
      <c r="J23" s="14">
        <f>VLOOKUP(K23,'Season Ticket Details'!$D$11:$E$26,2,FALSE)</f>
        <v>421</v>
      </c>
      <c r="K23" s="10" t="s">
        <v>73</v>
      </c>
      <c r="L23" s="12" t="s">
        <v>22</v>
      </c>
    </row>
    <row r="24" spans="1:12" ht="15" customHeight="1" x14ac:dyDescent="0.3">
      <c r="A24" s="10" t="s">
        <v>38</v>
      </c>
      <c r="B24" s="12" t="s">
        <v>144</v>
      </c>
      <c r="C24" s="10" t="s">
        <v>145</v>
      </c>
      <c r="D24" s="13" t="s">
        <v>146</v>
      </c>
      <c r="E24" s="10" t="s">
        <v>147</v>
      </c>
      <c r="F24" s="12" t="s">
        <v>148</v>
      </c>
      <c r="G24" s="11" t="s">
        <v>149</v>
      </c>
      <c r="H24" s="12">
        <v>61</v>
      </c>
      <c r="I24" s="10" t="s">
        <v>45</v>
      </c>
      <c r="J24" s="14">
        <f>VLOOKUP(K24,'Season Ticket Details'!$D$11:$E$26,2,FALSE)</f>
        <v>421</v>
      </c>
      <c r="K24" s="10" t="s">
        <v>73</v>
      </c>
      <c r="L24" s="12" t="s">
        <v>47</v>
      </c>
    </row>
    <row r="25" spans="1:12" hidden="1" x14ac:dyDescent="0.3">
      <c r="A25" s="10" t="s">
        <v>150</v>
      </c>
      <c r="B25" s="12" t="s">
        <v>151</v>
      </c>
      <c r="C25" s="10" t="s">
        <v>152</v>
      </c>
      <c r="D25" s="13" t="s">
        <v>153</v>
      </c>
      <c r="E25" s="10" t="s">
        <v>154</v>
      </c>
      <c r="F25" s="12" t="s">
        <v>155</v>
      </c>
      <c r="G25" s="11" t="s">
        <v>156</v>
      </c>
      <c r="H25" s="12">
        <v>71</v>
      </c>
      <c r="I25" s="10" t="s">
        <v>45</v>
      </c>
      <c r="J25" s="14">
        <f>VLOOKUP(K25,'Season Ticket Details'!$D$11:$E$26,2,FALSE)</f>
        <v>642</v>
      </c>
      <c r="K25" s="10" t="s">
        <v>157</v>
      </c>
      <c r="L25" s="12" t="s">
        <v>22</v>
      </c>
    </row>
    <row r="26" spans="1:12" ht="15" customHeight="1" x14ac:dyDescent="0.3">
      <c r="A26" s="10" t="s">
        <v>38</v>
      </c>
      <c r="B26" s="12" t="s">
        <v>158</v>
      </c>
      <c r="C26" s="10" t="s">
        <v>159</v>
      </c>
      <c r="D26" s="13" t="s">
        <v>160</v>
      </c>
      <c r="E26" s="10" t="s">
        <v>161</v>
      </c>
      <c r="F26" s="12" t="s">
        <v>162</v>
      </c>
      <c r="G26" s="11" t="s">
        <v>163</v>
      </c>
      <c r="H26" s="12">
        <v>38</v>
      </c>
      <c r="I26" s="10" t="s">
        <v>45</v>
      </c>
      <c r="J26" s="14">
        <f>VLOOKUP(K26,'Season Ticket Details'!$D$11:$E$26,2,FALSE)</f>
        <v>642</v>
      </c>
      <c r="K26" s="10" t="s">
        <v>21</v>
      </c>
      <c r="L26" s="12" t="s">
        <v>47</v>
      </c>
    </row>
    <row r="27" spans="1:12" hidden="1" x14ac:dyDescent="0.3">
      <c r="A27" s="10" t="s">
        <v>23</v>
      </c>
      <c r="B27" s="12" t="s">
        <v>164</v>
      </c>
      <c r="C27" s="10" t="s">
        <v>165</v>
      </c>
      <c r="D27" s="13" t="s">
        <v>166</v>
      </c>
      <c r="E27" s="10" t="s">
        <v>167</v>
      </c>
      <c r="F27" s="12" t="s">
        <v>168</v>
      </c>
      <c r="G27" s="11" t="s">
        <v>169</v>
      </c>
      <c r="H27" s="12">
        <v>25</v>
      </c>
      <c r="I27" s="10" t="s">
        <v>20</v>
      </c>
      <c r="J27" s="14">
        <f>VLOOKUP(K27,'Season Ticket Details'!$D$11:$E$26,2,FALSE)</f>
        <v>116</v>
      </c>
      <c r="K27" s="10" t="s">
        <v>66</v>
      </c>
      <c r="L27" s="12" t="s">
        <v>22</v>
      </c>
    </row>
    <row r="28" spans="1:12" hidden="1" x14ac:dyDescent="0.3">
      <c r="A28" s="10" t="s">
        <v>38</v>
      </c>
      <c r="B28" s="12" t="s">
        <v>170</v>
      </c>
      <c r="C28" s="10" t="s">
        <v>171</v>
      </c>
      <c r="D28" s="13" t="s">
        <v>172</v>
      </c>
      <c r="E28" s="10" t="s">
        <v>173</v>
      </c>
      <c r="F28" s="12" t="s">
        <v>174</v>
      </c>
      <c r="G28" s="11" t="s">
        <v>175</v>
      </c>
      <c r="H28" s="12">
        <v>26</v>
      </c>
      <c r="I28" s="10" t="s">
        <v>45</v>
      </c>
      <c r="J28" s="14">
        <f>VLOOKUP(K28,'Season Ticket Details'!$D$11:$E$26,2,FALSE)</f>
        <v>816</v>
      </c>
      <c r="K28" s="10" t="s">
        <v>176</v>
      </c>
      <c r="L28" s="12" t="s">
        <v>22</v>
      </c>
    </row>
    <row r="29" spans="1:12" hidden="1" x14ac:dyDescent="0.3">
      <c r="A29" s="10" t="s">
        <v>38</v>
      </c>
      <c r="B29" s="12" t="s">
        <v>177</v>
      </c>
      <c r="C29" s="10" t="s">
        <v>178</v>
      </c>
      <c r="D29" s="13" t="s">
        <v>179</v>
      </c>
      <c r="E29" s="10" t="s">
        <v>180</v>
      </c>
      <c r="F29" s="12" t="s">
        <v>181</v>
      </c>
      <c r="G29" s="11" t="s">
        <v>182</v>
      </c>
      <c r="H29" s="12">
        <v>66</v>
      </c>
      <c r="I29" s="10" t="s">
        <v>45</v>
      </c>
      <c r="J29" s="14">
        <f>VLOOKUP(K29,'Season Ticket Details'!$D$11:$E$26,2,FALSE)</f>
        <v>532</v>
      </c>
      <c r="K29" s="10" t="s">
        <v>183</v>
      </c>
      <c r="L29" s="12" t="s">
        <v>22</v>
      </c>
    </row>
    <row r="30" spans="1:12" hidden="1" x14ac:dyDescent="0.3">
      <c r="A30" s="10" t="s">
        <v>38</v>
      </c>
      <c r="B30" s="12" t="s">
        <v>184</v>
      </c>
      <c r="C30" s="10" t="s">
        <v>185</v>
      </c>
      <c r="D30" s="13" t="s">
        <v>186</v>
      </c>
      <c r="E30" s="10" t="s">
        <v>187</v>
      </c>
      <c r="F30" s="12" t="s">
        <v>188</v>
      </c>
      <c r="G30" s="11" t="s">
        <v>189</v>
      </c>
      <c r="H30" s="12">
        <v>70</v>
      </c>
      <c r="I30" s="10" t="s">
        <v>45</v>
      </c>
      <c r="J30" s="14">
        <f>VLOOKUP(K30,'Season Ticket Details'!$D$11:$E$26,2,FALSE)</f>
        <v>532</v>
      </c>
      <c r="K30" s="10" t="s">
        <v>183</v>
      </c>
      <c r="L30" s="12" t="s">
        <v>22</v>
      </c>
    </row>
    <row r="31" spans="1:12" ht="15" customHeight="1" x14ac:dyDescent="0.3">
      <c r="A31" s="10" t="s">
        <v>23</v>
      </c>
      <c r="B31" s="12" t="s">
        <v>190</v>
      </c>
      <c r="C31" s="10" t="s">
        <v>191</v>
      </c>
      <c r="D31" s="13" t="s">
        <v>192</v>
      </c>
      <c r="E31" s="10" t="s">
        <v>193</v>
      </c>
      <c r="F31" s="12" t="s">
        <v>194</v>
      </c>
      <c r="G31" s="11" t="s">
        <v>195</v>
      </c>
      <c r="H31" s="12">
        <v>32</v>
      </c>
      <c r="I31" s="10" t="s">
        <v>20</v>
      </c>
      <c r="J31" s="14">
        <f>VLOOKUP(K31,'Season Ticket Details'!$D$11:$E$26,2,FALSE)</f>
        <v>816</v>
      </c>
      <c r="K31" s="10" t="s">
        <v>176</v>
      </c>
      <c r="L31" s="12" t="s">
        <v>47</v>
      </c>
    </row>
    <row r="32" spans="1:12" hidden="1" x14ac:dyDescent="0.3">
      <c r="A32" s="10" t="s">
        <v>13</v>
      </c>
      <c r="B32" s="12" t="s">
        <v>196</v>
      </c>
      <c r="C32" s="10" t="s">
        <v>197</v>
      </c>
      <c r="D32" s="13" t="s">
        <v>198</v>
      </c>
      <c r="E32" s="10" t="s">
        <v>199</v>
      </c>
      <c r="F32" s="12" t="s">
        <v>200</v>
      </c>
      <c r="G32" s="11" t="s">
        <v>201</v>
      </c>
      <c r="H32" s="12">
        <v>48</v>
      </c>
      <c r="I32" s="10" t="s">
        <v>20</v>
      </c>
      <c r="J32" s="14">
        <f>VLOOKUP(K32,'Season Ticket Details'!$D$11:$E$26,2,FALSE)</f>
        <v>421</v>
      </c>
      <c r="K32" s="10" t="s">
        <v>73</v>
      </c>
      <c r="L32" s="12" t="s">
        <v>22</v>
      </c>
    </row>
    <row r="33" spans="1:12" hidden="1" x14ac:dyDescent="0.3">
      <c r="A33" s="10" t="s">
        <v>38</v>
      </c>
      <c r="B33" s="12" t="s">
        <v>202</v>
      </c>
      <c r="C33" s="10" t="s">
        <v>203</v>
      </c>
      <c r="D33" s="13" t="s">
        <v>204</v>
      </c>
      <c r="E33" s="10" t="s">
        <v>205</v>
      </c>
      <c r="F33" s="12" t="s">
        <v>206</v>
      </c>
      <c r="G33" s="11" t="s">
        <v>207</v>
      </c>
      <c r="H33" s="12">
        <v>43</v>
      </c>
      <c r="I33" s="10" t="s">
        <v>45</v>
      </c>
      <c r="J33" s="14">
        <f>VLOOKUP(K33,'Season Ticket Details'!$D$11:$E$26,2,FALSE)</f>
        <v>421</v>
      </c>
      <c r="K33" s="10" t="s">
        <v>73</v>
      </c>
      <c r="L33" s="12" t="s">
        <v>22</v>
      </c>
    </row>
    <row r="34" spans="1:12" hidden="1" x14ac:dyDescent="0.3">
      <c r="A34" s="10" t="s">
        <v>13</v>
      </c>
      <c r="B34" s="12" t="s">
        <v>208</v>
      </c>
      <c r="C34" s="10" t="s">
        <v>209</v>
      </c>
      <c r="D34" s="13" t="s">
        <v>210</v>
      </c>
      <c r="E34" s="10" t="s">
        <v>211</v>
      </c>
      <c r="F34" s="12" t="s">
        <v>212</v>
      </c>
      <c r="G34" s="11" t="s">
        <v>213</v>
      </c>
      <c r="H34" s="12">
        <v>54</v>
      </c>
      <c r="I34" s="10" t="s">
        <v>20</v>
      </c>
      <c r="J34" s="14">
        <f>VLOOKUP(K34,'Season Ticket Details'!$D$11:$E$26,2,FALSE)</f>
        <v>421</v>
      </c>
      <c r="K34" s="10" t="s">
        <v>73</v>
      </c>
      <c r="L34" s="12" t="s">
        <v>22</v>
      </c>
    </row>
    <row r="35" spans="1:12" hidden="1" x14ac:dyDescent="0.3">
      <c r="A35" s="10" t="s">
        <v>23</v>
      </c>
      <c r="B35" s="12" t="s">
        <v>214</v>
      </c>
      <c r="C35" s="10" t="s">
        <v>215</v>
      </c>
      <c r="D35" s="13" t="s">
        <v>216</v>
      </c>
      <c r="E35" s="10" t="s">
        <v>217</v>
      </c>
      <c r="F35" s="12" t="s">
        <v>218</v>
      </c>
      <c r="G35" s="11" t="s">
        <v>219</v>
      </c>
      <c r="H35" s="12">
        <v>64</v>
      </c>
      <c r="I35" s="10" t="s">
        <v>20</v>
      </c>
      <c r="J35" s="14">
        <f>VLOOKUP(K35,'Season Ticket Details'!$D$11:$E$26,2,FALSE)</f>
        <v>421</v>
      </c>
      <c r="K35" s="10" t="s">
        <v>73</v>
      </c>
      <c r="L35" s="12" t="s">
        <v>22</v>
      </c>
    </row>
    <row r="36" spans="1:12" hidden="1" x14ac:dyDescent="0.3">
      <c r="A36" s="10" t="s">
        <v>23</v>
      </c>
      <c r="B36" s="12" t="s">
        <v>220</v>
      </c>
      <c r="C36" s="10" t="s">
        <v>221</v>
      </c>
      <c r="D36" s="13" t="s">
        <v>222</v>
      </c>
      <c r="E36" s="10" t="s">
        <v>223</v>
      </c>
      <c r="F36" s="12" t="s">
        <v>224</v>
      </c>
      <c r="G36" s="11" t="s">
        <v>225</v>
      </c>
      <c r="H36" s="12">
        <v>20</v>
      </c>
      <c r="I36" s="10" t="s">
        <v>20</v>
      </c>
      <c r="J36" s="14">
        <f>VLOOKUP(K36,'Season Ticket Details'!$D$11:$E$26,2,FALSE)</f>
        <v>505</v>
      </c>
      <c r="K36" s="10" t="s">
        <v>226</v>
      </c>
      <c r="L36" s="12" t="s">
        <v>22</v>
      </c>
    </row>
    <row r="37" spans="1:12" hidden="1" x14ac:dyDescent="0.3">
      <c r="A37" s="10" t="s">
        <v>38</v>
      </c>
      <c r="B37" s="12" t="s">
        <v>227</v>
      </c>
      <c r="C37" s="10" t="s">
        <v>228</v>
      </c>
      <c r="D37" s="13" t="s">
        <v>229</v>
      </c>
      <c r="E37" s="10" t="s">
        <v>230</v>
      </c>
      <c r="F37" s="12" t="s">
        <v>231</v>
      </c>
      <c r="G37" s="11" t="s">
        <v>232</v>
      </c>
      <c r="H37" s="12">
        <v>61</v>
      </c>
      <c r="I37" s="10" t="s">
        <v>45</v>
      </c>
      <c r="J37" s="14">
        <f>VLOOKUP(K37,'Season Ticket Details'!$D$11:$E$26,2,FALSE)</f>
        <v>421</v>
      </c>
      <c r="K37" s="10" t="s">
        <v>73</v>
      </c>
      <c r="L37" s="12" t="s">
        <v>22</v>
      </c>
    </row>
    <row r="38" spans="1:12" hidden="1" x14ac:dyDescent="0.3">
      <c r="A38" s="10" t="s">
        <v>23</v>
      </c>
      <c r="B38" s="12" t="s">
        <v>233</v>
      </c>
      <c r="C38" s="10" t="s">
        <v>234</v>
      </c>
      <c r="D38" s="13" t="s">
        <v>235</v>
      </c>
      <c r="E38" s="10" t="s">
        <v>236</v>
      </c>
      <c r="F38" s="12" t="s">
        <v>237</v>
      </c>
      <c r="G38" s="11" t="s">
        <v>238</v>
      </c>
      <c r="H38" s="12">
        <v>26</v>
      </c>
      <c r="I38" s="10" t="s">
        <v>20</v>
      </c>
      <c r="J38" s="14">
        <f>VLOOKUP(K38,'Season Ticket Details'!$D$11:$E$26,2,FALSE)</f>
        <v>642</v>
      </c>
      <c r="K38" s="10" t="s">
        <v>21</v>
      </c>
      <c r="L38" s="12" t="s">
        <v>22</v>
      </c>
    </row>
    <row r="39" spans="1:12" hidden="1" x14ac:dyDescent="0.3">
      <c r="A39" s="10" t="s">
        <v>23</v>
      </c>
      <c r="B39" s="12" t="s">
        <v>239</v>
      </c>
      <c r="C39" s="10" t="s">
        <v>240</v>
      </c>
      <c r="D39" s="13" t="s">
        <v>241</v>
      </c>
      <c r="E39" s="10" t="s">
        <v>242</v>
      </c>
      <c r="F39" s="12" t="s">
        <v>243</v>
      </c>
      <c r="G39" s="11" t="s">
        <v>244</v>
      </c>
      <c r="H39" s="12">
        <v>29</v>
      </c>
      <c r="I39" s="10" t="s">
        <v>20</v>
      </c>
      <c r="J39" s="14">
        <f>VLOOKUP(K39,'Season Ticket Details'!$D$11:$E$26,2,FALSE)</f>
        <v>642</v>
      </c>
      <c r="K39" s="10" t="s">
        <v>21</v>
      </c>
      <c r="L39" s="12" t="s">
        <v>22</v>
      </c>
    </row>
    <row r="40" spans="1:12" hidden="1" x14ac:dyDescent="0.3">
      <c r="A40" s="10" t="s">
        <v>13</v>
      </c>
      <c r="B40" s="12" t="s">
        <v>245</v>
      </c>
      <c r="C40" s="10" t="s">
        <v>246</v>
      </c>
      <c r="D40" s="13" t="s">
        <v>247</v>
      </c>
      <c r="E40" s="10" t="s">
        <v>248</v>
      </c>
      <c r="F40" s="12" t="s">
        <v>249</v>
      </c>
      <c r="G40" s="11" t="s">
        <v>250</v>
      </c>
      <c r="H40" s="12">
        <v>53</v>
      </c>
      <c r="I40" s="10" t="s">
        <v>20</v>
      </c>
      <c r="J40" s="14">
        <f>VLOOKUP(K40,'Season Ticket Details'!$D$11:$E$26,2,FALSE)</f>
        <v>642</v>
      </c>
      <c r="K40" s="10" t="s">
        <v>21</v>
      </c>
      <c r="L40" s="12" t="s">
        <v>22</v>
      </c>
    </row>
    <row r="41" spans="1:12" hidden="1" x14ac:dyDescent="0.3">
      <c r="A41" s="10" t="s">
        <v>38</v>
      </c>
      <c r="B41" s="12" t="s">
        <v>251</v>
      </c>
      <c r="C41" s="10" t="s">
        <v>252</v>
      </c>
      <c r="D41" s="13" t="s">
        <v>253</v>
      </c>
      <c r="E41" s="10" t="s">
        <v>254</v>
      </c>
      <c r="F41" s="12" t="s">
        <v>255</v>
      </c>
      <c r="G41" s="11" t="s">
        <v>256</v>
      </c>
      <c r="H41" s="12">
        <v>20</v>
      </c>
      <c r="I41" s="10" t="s">
        <v>45</v>
      </c>
      <c r="J41" s="14">
        <f>VLOOKUP(K41,'Season Ticket Details'!$D$11:$E$26,2,FALSE)</f>
        <v>355</v>
      </c>
      <c r="K41" s="10" t="s">
        <v>119</v>
      </c>
      <c r="L41" s="12" t="s">
        <v>22</v>
      </c>
    </row>
    <row r="42" spans="1:12" hidden="1" x14ac:dyDescent="0.3">
      <c r="A42" s="10" t="s">
        <v>23</v>
      </c>
      <c r="B42" s="12" t="s">
        <v>257</v>
      </c>
      <c r="C42" s="10" t="s">
        <v>258</v>
      </c>
      <c r="D42" s="13" t="s">
        <v>259</v>
      </c>
      <c r="E42" s="10" t="s">
        <v>260</v>
      </c>
      <c r="F42" s="12" t="s">
        <v>261</v>
      </c>
      <c r="G42" s="11" t="s">
        <v>262</v>
      </c>
      <c r="H42" s="12">
        <v>33</v>
      </c>
      <c r="I42" s="10" t="s">
        <v>20</v>
      </c>
      <c r="J42" s="14">
        <f>VLOOKUP(K42,'Season Ticket Details'!$D$11:$E$26,2,FALSE)</f>
        <v>642</v>
      </c>
      <c r="K42" s="10" t="s">
        <v>21</v>
      </c>
      <c r="L42" s="12" t="s">
        <v>22</v>
      </c>
    </row>
    <row r="43" spans="1:12" ht="15" customHeight="1" x14ac:dyDescent="0.3">
      <c r="A43" s="10" t="s">
        <v>23</v>
      </c>
      <c r="B43" s="12" t="s">
        <v>263</v>
      </c>
      <c r="C43" s="10" t="s">
        <v>264</v>
      </c>
      <c r="D43" s="13" t="s">
        <v>265</v>
      </c>
      <c r="E43" s="10" t="s">
        <v>266</v>
      </c>
      <c r="F43" s="12" t="s">
        <v>267</v>
      </c>
      <c r="G43" s="11" t="s">
        <v>268</v>
      </c>
      <c r="H43" s="12">
        <v>40</v>
      </c>
      <c r="I43" s="10" t="s">
        <v>20</v>
      </c>
      <c r="J43" s="14">
        <f>VLOOKUP(K43,'Season Ticket Details'!$D$11:$E$26,2,FALSE)</f>
        <v>642</v>
      </c>
      <c r="K43" s="10" t="s">
        <v>21</v>
      </c>
      <c r="L43" s="12" t="s">
        <v>47</v>
      </c>
    </row>
    <row r="44" spans="1:12" hidden="1" x14ac:dyDescent="0.3">
      <c r="A44" s="10" t="s">
        <v>38</v>
      </c>
      <c r="B44" s="12" t="s">
        <v>269</v>
      </c>
      <c r="C44" s="10" t="s">
        <v>270</v>
      </c>
      <c r="D44" s="13" t="s">
        <v>271</v>
      </c>
      <c r="E44" s="10" t="s">
        <v>272</v>
      </c>
      <c r="F44" s="12" t="s">
        <v>273</v>
      </c>
      <c r="G44" s="11" t="s">
        <v>274</v>
      </c>
      <c r="H44" s="12">
        <v>32</v>
      </c>
      <c r="I44" s="10" t="s">
        <v>45</v>
      </c>
      <c r="J44" s="14">
        <f>VLOOKUP(K44,'Season Ticket Details'!$D$11:$E$26,2,FALSE)</f>
        <v>642</v>
      </c>
      <c r="K44" s="10" t="s">
        <v>21</v>
      </c>
      <c r="L44" s="12" t="s">
        <v>22</v>
      </c>
    </row>
    <row r="45" spans="1:12" hidden="1" x14ac:dyDescent="0.3">
      <c r="A45" s="10" t="s">
        <v>23</v>
      </c>
      <c r="B45" s="12" t="s">
        <v>275</v>
      </c>
      <c r="C45" s="10" t="s">
        <v>276</v>
      </c>
      <c r="D45" s="13" t="s">
        <v>277</v>
      </c>
      <c r="E45" s="10" t="s">
        <v>278</v>
      </c>
      <c r="F45" s="12" t="s">
        <v>279</v>
      </c>
      <c r="G45" s="11" t="s">
        <v>280</v>
      </c>
      <c r="H45" s="12">
        <v>37</v>
      </c>
      <c r="I45" s="10" t="s">
        <v>20</v>
      </c>
      <c r="J45" s="14">
        <f>VLOOKUP(K45,'Season Ticket Details'!$D$11:$E$26,2,FALSE)</f>
        <v>642</v>
      </c>
      <c r="K45" s="10" t="s">
        <v>21</v>
      </c>
      <c r="L45" s="12" t="s">
        <v>22</v>
      </c>
    </row>
    <row r="46" spans="1:12" ht="15" customHeight="1" x14ac:dyDescent="0.3">
      <c r="A46" s="10" t="s">
        <v>38</v>
      </c>
      <c r="B46" s="12" t="s">
        <v>281</v>
      </c>
      <c r="C46" s="10" t="s">
        <v>282</v>
      </c>
      <c r="D46" s="13" t="s">
        <v>283</v>
      </c>
      <c r="E46" s="10" t="s">
        <v>284</v>
      </c>
      <c r="F46" s="12" t="s">
        <v>285</v>
      </c>
      <c r="G46" s="11" t="s">
        <v>286</v>
      </c>
      <c r="H46" s="12">
        <v>30</v>
      </c>
      <c r="I46" s="10" t="s">
        <v>45</v>
      </c>
      <c r="J46" s="14">
        <f>VLOOKUP(K46,'Season Ticket Details'!$D$11:$E$26,2,FALSE)</f>
        <v>210</v>
      </c>
      <c r="K46" s="10" t="s">
        <v>37</v>
      </c>
      <c r="L46" s="12" t="s">
        <v>47</v>
      </c>
    </row>
    <row r="47" spans="1:12" hidden="1" x14ac:dyDescent="0.3">
      <c r="A47" s="10" t="s">
        <v>23</v>
      </c>
      <c r="B47" s="12" t="s">
        <v>287</v>
      </c>
      <c r="C47" s="10" t="s">
        <v>288</v>
      </c>
      <c r="D47" s="13" t="s">
        <v>289</v>
      </c>
      <c r="E47" s="10" t="s">
        <v>290</v>
      </c>
      <c r="F47" s="12" t="s">
        <v>291</v>
      </c>
      <c r="G47" s="11" t="s">
        <v>292</v>
      </c>
      <c r="H47" s="12">
        <v>19</v>
      </c>
      <c r="I47" s="10" t="s">
        <v>20</v>
      </c>
      <c r="J47" s="14">
        <f>VLOOKUP(K47,'Season Ticket Details'!$D$11:$E$26,2,FALSE)</f>
        <v>692</v>
      </c>
      <c r="K47" s="10" t="s">
        <v>93</v>
      </c>
      <c r="L47" s="12" t="s">
        <v>22</v>
      </c>
    </row>
    <row r="48" spans="1:12" ht="15" customHeight="1" x14ac:dyDescent="0.3">
      <c r="A48" s="10" t="s">
        <v>23</v>
      </c>
      <c r="B48" s="12" t="s">
        <v>293</v>
      </c>
      <c r="C48" s="10" t="s">
        <v>294</v>
      </c>
      <c r="D48" s="13" t="s">
        <v>295</v>
      </c>
      <c r="E48" s="10" t="s">
        <v>296</v>
      </c>
      <c r="F48" s="12" t="s">
        <v>297</v>
      </c>
      <c r="G48" s="11" t="s">
        <v>298</v>
      </c>
      <c r="H48" s="12">
        <v>73</v>
      </c>
      <c r="I48" s="10" t="s">
        <v>20</v>
      </c>
      <c r="J48" s="14">
        <f>VLOOKUP(K48,'Season Ticket Details'!$D$11:$E$26,2,FALSE)</f>
        <v>532</v>
      </c>
      <c r="K48" s="10" t="s">
        <v>183</v>
      </c>
      <c r="L48" s="12" t="s">
        <v>47</v>
      </c>
    </row>
    <row r="49" spans="1:14" hidden="1" x14ac:dyDescent="0.3">
      <c r="A49" s="10" t="s">
        <v>38</v>
      </c>
      <c r="B49" s="12" t="s">
        <v>299</v>
      </c>
      <c r="C49" s="10" t="s">
        <v>300</v>
      </c>
      <c r="D49" s="13" t="s">
        <v>301</v>
      </c>
      <c r="E49" s="10" t="s">
        <v>302</v>
      </c>
      <c r="F49" s="12" t="s">
        <v>303</v>
      </c>
      <c r="G49" s="11" t="s">
        <v>304</v>
      </c>
      <c r="H49" s="12">
        <v>17</v>
      </c>
      <c r="I49" s="10" t="s">
        <v>45</v>
      </c>
      <c r="J49" s="14">
        <f>VLOOKUP(K49,'Season Ticket Details'!$D$11:$E$26,2,FALSE)</f>
        <v>673</v>
      </c>
      <c r="K49" s="10" t="s">
        <v>305</v>
      </c>
      <c r="L49" s="12" t="s">
        <v>22</v>
      </c>
    </row>
    <row r="50" spans="1:14" hidden="1" x14ac:dyDescent="0.3">
      <c r="A50" s="10" t="s">
        <v>38</v>
      </c>
      <c r="B50" s="12" t="s">
        <v>306</v>
      </c>
      <c r="C50" s="10" t="s">
        <v>307</v>
      </c>
      <c r="D50" s="13" t="s">
        <v>308</v>
      </c>
      <c r="E50" s="10" t="s">
        <v>309</v>
      </c>
      <c r="F50" s="12" t="s">
        <v>310</v>
      </c>
      <c r="G50" s="11" t="s">
        <v>311</v>
      </c>
      <c r="H50" s="12">
        <v>15</v>
      </c>
      <c r="I50" s="10" t="s">
        <v>45</v>
      </c>
      <c r="J50" s="14">
        <f>VLOOKUP(K50,'Season Ticket Details'!$D$11:$E$26,2,FALSE)</f>
        <v>79</v>
      </c>
      <c r="K50" s="10" t="s">
        <v>106</v>
      </c>
      <c r="L50" s="12" t="s">
        <v>22</v>
      </c>
    </row>
    <row r="51" spans="1:14" hidden="1" x14ac:dyDescent="0.3">
      <c r="A51" s="10" t="s">
        <v>38</v>
      </c>
      <c r="B51" s="12" t="s">
        <v>312</v>
      </c>
      <c r="C51" s="10" t="s">
        <v>313</v>
      </c>
      <c r="D51" s="13" t="s">
        <v>314</v>
      </c>
      <c r="E51" s="10" t="s">
        <v>315</v>
      </c>
      <c r="F51" s="12" t="s">
        <v>316</v>
      </c>
      <c r="G51" s="11" t="s">
        <v>317</v>
      </c>
      <c r="H51" s="12">
        <v>47</v>
      </c>
      <c r="I51" s="10" t="s">
        <v>45</v>
      </c>
      <c r="J51" s="14">
        <f>VLOOKUP(K51,'Season Ticket Details'!$D$11:$E$26,2,FALSE)</f>
        <v>421</v>
      </c>
      <c r="K51" s="10" t="s">
        <v>73</v>
      </c>
      <c r="L51" s="12" t="s">
        <v>22</v>
      </c>
    </row>
    <row r="52" spans="1:14" ht="15" customHeight="1" x14ac:dyDescent="0.3">
      <c r="A52" s="10" t="s">
        <v>38</v>
      </c>
      <c r="B52" s="12" t="s">
        <v>318</v>
      </c>
      <c r="C52" s="10" t="s">
        <v>319</v>
      </c>
      <c r="D52" s="13" t="s">
        <v>320</v>
      </c>
      <c r="E52" s="10" t="s">
        <v>321</v>
      </c>
      <c r="F52" s="12" t="s">
        <v>322</v>
      </c>
      <c r="G52" s="11" t="s">
        <v>323</v>
      </c>
      <c r="H52" s="12">
        <v>19</v>
      </c>
      <c r="I52" s="10" t="s">
        <v>45</v>
      </c>
      <c r="J52" s="14">
        <f>VLOOKUP(K52,'Season Ticket Details'!$D$11:$E$26,2,FALSE)</f>
        <v>692</v>
      </c>
      <c r="K52" s="10" t="s">
        <v>93</v>
      </c>
      <c r="L52" s="12" t="s">
        <v>47</v>
      </c>
    </row>
    <row r="53" spans="1:14" hidden="1" x14ac:dyDescent="0.3">
      <c r="A53" s="10" t="s">
        <v>23</v>
      </c>
      <c r="B53" s="12" t="s">
        <v>324</v>
      </c>
      <c r="C53" s="10" t="s">
        <v>325</v>
      </c>
      <c r="D53" s="13" t="s">
        <v>326</v>
      </c>
      <c r="E53" s="10" t="s">
        <v>327</v>
      </c>
      <c r="F53" s="12" t="s">
        <v>328</v>
      </c>
      <c r="G53" s="11" t="s">
        <v>329</v>
      </c>
      <c r="H53" s="12">
        <v>16</v>
      </c>
      <c r="I53" s="10" t="s">
        <v>20</v>
      </c>
      <c r="J53" s="14">
        <f>VLOOKUP(K53,'Season Ticket Details'!$D$11:$E$26,2,FALSE)</f>
        <v>554</v>
      </c>
      <c r="K53" s="10" t="s">
        <v>46</v>
      </c>
      <c r="L53" s="12" t="s">
        <v>22</v>
      </c>
    </row>
    <row r="54" spans="1:14" ht="15" customHeight="1" x14ac:dyDescent="0.3">
      <c r="A54" s="10" t="s">
        <v>13</v>
      </c>
      <c r="B54" s="12" t="s">
        <v>330</v>
      </c>
      <c r="C54" s="10" t="s">
        <v>331</v>
      </c>
      <c r="D54" s="13" t="s">
        <v>332</v>
      </c>
      <c r="E54" s="10" t="s">
        <v>333</v>
      </c>
      <c r="F54" s="12" t="s">
        <v>334</v>
      </c>
      <c r="G54" s="11" t="s">
        <v>335</v>
      </c>
      <c r="H54" s="12">
        <v>15</v>
      </c>
      <c r="I54" s="10" t="s">
        <v>20</v>
      </c>
      <c r="J54" s="14">
        <f>VLOOKUP(K54,'Season Ticket Details'!$D$11:$E$26,2,FALSE)</f>
        <v>79</v>
      </c>
      <c r="K54" s="10" t="s">
        <v>106</v>
      </c>
      <c r="L54" s="12" t="s">
        <v>47</v>
      </c>
    </row>
    <row r="55" spans="1:14" x14ac:dyDescent="0.3">
      <c r="J55" s="9"/>
    </row>
    <row r="56" spans="1:14" x14ac:dyDescent="0.3">
      <c r="M56" s="9"/>
      <c r="N56" s="9"/>
    </row>
    <row r="57" spans="1:14" x14ac:dyDescent="0.3">
      <c r="M57" s="9"/>
      <c r="N57" s="9"/>
    </row>
  </sheetData>
  <autoFilter ref="A4:L54" xr:uid="{00000000-0001-0000-0200-000000000000}">
    <filterColumn colId="11">
      <filters>
        <filter val="No"/>
      </filters>
    </filterColumn>
  </autoFilter>
  <mergeCells count="1">
    <mergeCell ref="A1:J3"/>
  </mergeCells>
  <conditionalFormatting sqref="H5:H54">
    <cfRule type="cellIs" dxfId="0" priority="1" operator="lessThan">
      <formula>18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0000000}">
          <x14:formula1>
            <xm:f>'Season Ticket Details'!$D$11:$D$26</xm:f>
          </x14:formula1>
          <xm:sqref>K5:K54</xm:sqref>
        </x14:dataValidation>
        <x14:dataValidation type="list" allowBlank="1" showInputMessage="1" showErrorMessage="1" xr:uid="{00000000-0002-0000-0200-000001000000}">
          <x14:formula1>
            <xm:f>'Season Ticket Details'!$F$11:$F$14</xm:f>
          </x14:formula1>
          <xm:sqref>A5:A54</xm:sqref>
        </x14:dataValidation>
        <x14:dataValidation type="list" allowBlank="1" showInputMessage="1" showErrorMessage="1" xr:uid="{00000000-0002-0000-0200-000002000000}">
          <x14:formula1>
            <xm:f>'Season Ticket Details'!$G$11:$G$12</xm:f>
          </x14:formula1>
          <xm:sqref>I5:I54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L19"/>
  <sheetViews>
    <sheetView zoomScale="130" zoomScaleNormal="130" workbookViewId="0"/>
  </sheetViews>
  <sheetFormatPr defaultColWidth="9.109375" defaultRowHeight="14.4" x14ac:dyDescent="0.3"/>
  <cols>
    <col min="1" max="1" width="9.109375" style="18"/>
    <col min="2" max="2" width="24.109375" style="18" customWidth="1"/>
    <col min="3" max="3" width="12.33203125" style="18" bestFit="1" customWidth="1"/>
    <col min="4" max="4" width="11" style="18" bestFit="1" customWidth="1"/>
    <col min="5" max="5" width="10.5546875" style="18" bestFit="1" customWidth="1"/>
    <col min="6" max="9" width="9.109375" style="18"/>
    <col min="10" max="10" width="8.109375" style="18" customWidth="1"/>
    <col min="11" max="16384" width="9.109375" style="18"/>
  </cols>
  <sheetData>
    <row r="2" spans="2:12" ht="23.25" customHeight="1" x14ac:dyDescent="0.3"/>
    <row r="4" spans="2:12" x14ac:dyDescent="0.3">
      <c r="D4" s="18" t="s">
        <v>336</v>
      </c>
      <c r="G4" s="48" t="str">
        <f>IF(C17&gt;C18,"Profit","Loss")</f>
        <v>Profit</v>
      </c>
      <c r="H4" s="48"/>
      <c r="L4" s="22"/>
    </row>
    <row r="5" spans="2:12" ht="15" customHeight="1" x14ac:dyDescent="0.3">
      <c r="B5" s="34" t="s">
        <v>337</v>
      </c>
      <c r="C5" s="20">
        <f>SUMIF('Ticket-Holder Details'!L5:L54,"yes",'Ticket-Holder Details'!J5:J54)</f>
        <v>19381</v>
      </c>
      <c r="D5" s="35">
        <f>SUM(C5/C7)*100%</f>
        <v>0.80083467625304738</v>
      </c>
      <c r="F5" s="33" t="s">
        <v>338</v>
      </c>
      <c r="G5" s="48"/>
      <c r="H5" s="48"/>
    </row>
    <row r="6" spans="2:12" ht="15" customHeight="1" x14ac:dyDescent="0.3">
      <c r="B6" s="34" t="s">
        <v>339</v>
      </c>
      <c r="C6" s="20">
        <f>SUMIF('Ticket-Holder Details'!L5:L54,"no",'Ticket-Holder Details'!J5:J54)</f>
        <v>4820</v>
      </c>
      <c r="D6" s="35">
        <f>SUM(C6/C7)*100%</f>
        <v>0.19916532374695262</v>
      </c>
      <c r="F6" s="33" t="s">
        <v>340</v>
      </c>
      <c r="G6" s="48"/>
      <c r="H6" s="48"/>
      <c r="K6" s="22"/>
    </row>
    <row r="7" spans="2:12" x14ac:dyDescent="0.3">
      <c r="B7" s="34" t="s">
        <v>341</v>
      </c>
      <c r="C7" s="21">
        <f>SUM(C5:C6)</f>
        <v>24201</v>
      </c>
      <c r="D7" s="36">
        <f>SUM(D5,D6)</f>
        <v>1</v>
      </c>
      <c r="G7" s="48"/>
      <c r="H7" s="48"/>
    </row>
    <row r="9" spans="2:12" x14ac:dyDescent="0.3">
      <c r="B9" s="34" t="s">
        <v>342</v>
      </c>
      <c r="C9" s="18">
        <f>COUNTIF('Ticket-Holder Details'!L5:L54,"yes")</f>
        <v>39</v>
      </c>
      <c r="D9" s="19">
        <f>SUM(C9/C11)*100%</f>
        <v>0.78</v>
      </c>
    </row>
    <row r="10" spans="2:12" x14ac:dyDescent="0.3">
      <c r="B10" s="34" t="s">
        <v>343</v>
      </c>
      <c r="C10" s="18">
        <f>COUNTIF('Ticket-Holder Details'!L5:L54,"no")</f>
        <v>11</v>
      </c>
      <c r="D10" s="19">
        <f>SUM(C10/C11)*100%</f>
        <v>0.22</v>
      </c>
    </row>
    <row r="11" spans="2:12" x14ac:dyDescent="0.3">
      <c r="B11" s="34" t="s">
        <v>344</v>
      </c>
      <c r="C11" s="18">
        <f>SUM(C9:C10)</f>
        <v>50</v>
      </c>
      <c r="D11" s="27">
        <f>SUM(D9,D10)</f>
        <v>1</v>
      </c>
    </row>
    <row r="13" spans="2:12" x14ac:dyDescent="0.3">
      <c r="B13" s="18" t="s">
        <v>345</v>
      </c>
      <c r="C13" s="18">
        <f>COUNTIF('Ticket-Holder Details'!I5:I54,"female")</f>
        <v>27</v>
      </c>
      <c r="D13" s="19">
        <f>SUM(C13/C15)*100%</f>
        <v>0.54</v>
      </c>
      <c r="E13" s="32" t="s">
        <v>20</v>
      </c>
    </row>
    <row r="14" spans="2:12" x14ac:dyDescent="0.3">
      <c r="B14" s="18" t="s">
        <v>346</v>
      </c>
      <c r="C14" s="18">
        <f>COUNTIF('Ticket-Holder Details'!I5:I54,"male")</f>
        <v>23</v>
      </c>
      <c r="D14" s="19">
        <f>SUM(C14/C15)*100%</f>
        <v>0.46</v>
      </c>
      <c r="E14" s="32" t="s">
        <v>45</v>
      </c>
    </row>
    <row r="15" spans="2:12" x14ac:dyDescent="0.3">
      <c r="B15" s="18" t="s">
        <v>347</v>
      </c>
      <c r="C15" s="18">
        <f>SUM(C13:C14)</f>
        <v>50</v>
      </c>
      <c r="D15" s="27">
        <f>SUM(D13,D14)</f>
        <v>1</v>
      </c>
      <c r="E15" s="32" t="s">
        <v>347</v>
      </c>
    </row>
    <row r="17" spans="2:7" ht="15.6" x14ac:dyDescent="0.3">
      <c r="B17" s="34" t="s">
        <v>348</v>
      </c>
      <c r="C17" s="37">
        <f>SUMIF('Ticket-Holder Details'!$L$5:$L$54,"yes",'Ticket-Holder Details'!$J$5:$J$54)</f>
        <v>19381</v>
      </c>
      <c r="D17" s="19">
        <f>SUM(C17/C19)*100%</f>
        <v>0.80083467625304738</v>
      </c>
      <c r="F17" s="22" t="s">
        <v>349</v>
      </c>
      <c r="G17" s="22" t="s">
        <v>350</v>
      </c>
    </row>
    <row r="18" spans="2:7" ht="15.6" x14ac:dyDescent="0.3">
      <c r="B18" s="34" t="s">
        <v>351</v>
      </c>
      <c r="C18" s="37">
        <f>SUMIF('Ticket-Holder Details'!$L$5:$L$54,"no",'Ticket-Holder Details'!$J$5:$J$54)</f>
        <v>4820</v>
      </c>
      <c r="D18" s="19">
        <f>SUM(C18/C19)*100%</f>
        <v>0.19916532374695262</v>
      </c>
      <c r="F18" s="42">
        <f>COUNTIF('Ticket-Holder Details'!H5:H54,"&gt;65")</f>
        <v>6</v>
      </c>
      <c r="G18" s="42">
        <f>COUNTIF('Ticket-Holder Details'!H5:H54,"&lt;18")</f>
        <v>7</v>
      </c>
    </row>
    <row r="19" spans="2:7" ht="15.6" x14ac:dyDescent="0.3">
      <c r="C19" s="38">
        <f>SUM(C17:C18)</f>
        <v>24201</v>
      </c>
      <c r="D19" s="27">
        <f>SUM(D17:D18)</f>
        <v>1</v>
      </c>
    </row>
  </sheetData>
  <mergeCells count="1">
    <mergeCell ref="G4:H7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2:I32"/>
  <sheetViews>
    <sheetView zoomScaleNormal="100" workbookViewId="0"/>
  </sheetViews>
  <sheetFormatPr defaultColWidth="9.109375" defaultRowHeight="14.4" x14ac:dyDescent="0.3"/>
  <cols>
    <col min="1" max="2" width="9.109375" style="18"/>
    <col min="3" max="3" width="10.6640625" style="18" bestFit="1" customWidth="1"/>
    <col min="4" max="5" width="15" style="18" bestFit="1" customWidth="1"/>
    <col min="6" max="6" width="9.109375" style="18"/>
    <col min="7" max="7" width="7.5546875" style="18" bestFit="1" customWidth="1"/>
    <col min="8" max="8" width="12.33203125" style="18" customWidth="1"/>
    <col min="9" max="9" width="8.5546875" style="18" customWidth="1"/>
    <col min="10" max="10" width="9.109375" style="18"/>
    <col min="11" max="11" width="6.33203125" style="18" customWidth="1"/>
    <col min="12" max="16384" width="9.109375" style="18"/>
  </cols>
  <sheetData>
    <row r="2" spans="4:9" x14ac:dyDescent="0.3">
      <c r="F2" s="49" t="s">
        <v>352</v>
      </c>
      <c r="G2" s="49"/>
      <c r="H2" s="49"/>
    </row>
    <row r="3" spans="4:9" x14ac:dyDescent="0.3">
      <c r="F3" s="49"/>
      <c r="G3" s="49"/>
      <c r="H3" s="49"/>
    </row>
    <row r="10" spans="4:9" x14ac:dyDescent="0.3">
      <c r="D10" s="29" t="s">
        <v>353</v>
      </c>
      <c r="E10" s="29" t="s">
        <v>354</v>
      </c>
      <c r="F10" s="29" t="s">
        <v>1</v>
      </c>
      <c r="G10" s="29" t="s">
        <v>9</v>
      </c>
      <c r="H10" s="50" t="s">
        <v>355</v>
      </c>
      <c r="I10" s="51"/>
    </row>
    <row r="11" spans="4:9" x14ac:dyDescent="0.3">
      <c r="D11" s="28" t="s">
        <v>86</v>
      </c>
      <c r="E11" s="30">
        <v>613</v>
      </c>
      <c r="F11" s="28" t="s">
        <v>38</v>
      </c>
      <c r="G11" s="28" t="s">
        <v>45</v>
      </c>
      <c r="H11" s="28" t="s">
        <v>22</v>
      </c>
      <c r="I11" s="28" t="s">
        <v>47</v>
      </c>
    </row>
    <row r="12" spans="4:9" x14ac:dyDescent="0.3">
      <c r="D12" s="29" t="s">
        <v>226</v>
      </c>
      <c r="E12" s="31">
        <v>505</v>
      </c>
      <c r="F12" s="29" t="s">
        <v>23</v>
      </c>
      <c r="G12" s="29" t="s">
        <v>20</v>
      </c>
    </row>
    <row r="13" spans="4:9" x14ac:dyDescent="0.3">
      <c r="D13" s="28" t="s">
        <v>356</v>
      </c>
      <c r="E13" s="30">
        <v>875</v>
      </c>
      <c r="F13" s="28" t="s">
        <v>13</v>
      </c>
    </row>
    <row r="14" spans="4:9" x14ac:dyDescent="0.3">
      <c r="D14" s="29" t="s">
        <v>21</v>
      </c>
      <c r="E14" s="31">
        <v>642</v>
      </c>
      <c r="F14" s="29" t="s">
        <v>150</v>
      </c>
    </row>
    <row r="15" spans="4:9" x14ac:dyDescent="0.3">
      <c r="D15" s="28" t="s">
        <v>305</v>
      </c>
      <c r="E15" s="30">
        <v>673</v>
      </c>
    </row>
    <row r="16" spans="4:9" x14ac:dyDescent="0.3">
      <c r="D16" s="29" t="s">
        <v>93</v>
      </c>
      <c r="E16" s="31">
        <v>692</v>
      </c>
    </row>
    <row r="17" spans="2:5" x14ac:dyDescent="0.3">
      <c r="D17" s="28" t="s">
        <v>183</v>
      </c>
      <c r="E17" s="30">
        <v>532</v>
      </c>
    </row>
    <row r="18" spans="2:5" x14ac:dyDescent="0.3">
      <c r="D18" s="29" t="s">
        <v>73</v>
      </c>
      <c r="E18" s="31">
        <v>421</v>
      </c>
    </row>
    <row r="19" spans="2:5" x14ac:dyDescent="0.3">
      <c r="D19" s="28" t="s">
        <v>106</v>
      </c>
      <c r="E19" s="30">
        <v>79</v>
      </c>
    </row>
    <row r="20" spans="2:5" x14ac:dyDescent="0.3">
      <c r="D20" s="29" t="s">
        <v>66</v>
      </c>
      <c r="E20" s="31">
        <v>116</v>
      </c>
    </row>
    <row r="21" spans="2:5" x14ac:dyDescent="0.3">
      <c r="D21" s="28" t="s">
        <v>30</v>
      </c>
      <c r="E21" s="30">
        <v>530</v>
      </c>
    </row>
    <row r="22" spans="2:5" x14ac:dyDescent="0.3">
      <c r="D22" s="29" t="s">
        <v>37</v>
      </c>
      <c r="E22" s="31">
        <v>210</v>
      </c>
    </row>
    <row r="23" spans="2:5" x14ac:dyDescent="0.3">
      <c r="D23" s="28" t="s">
        <v>46</v>
      </c>
      <c r="E23" s="30">
        <v>554</v>
      </c>
    </row>
    <row r="24" spans="2:5" x14ac:dyDescent="0.3">
      <c r="D24" s="29" t="s">
        <v>119</v>
      </c>
      <c r="E24" s="31">
        <v>355</v>
      </c>
    </row>
    <row r="25" spans="2:5" x14ac:dyDescent="0.3">
      <c r="D25" s="28" t="s">
        <v>157</v>
      </c>
      <c r="E25" s="30">
        <v>642</v>
      </c>
    </row>
    <row r="26" spans="2:5" x14ac:dyDescent="0.3">
      <c r="D26" s="29" t="s">
        <v>176</v>
      </c>
      <c r="E26" s="31">
        <v>816</v>
      </c>
    </row>
    <row r="32" spans="2:5" x14ac:dyDescent="0.3">
      <c r="B32" s="18" t="s">
        <v>357</v>
      </c>
    </row>
  </sheetData>
  <sortState xmlns:xlrd2="http://schemas.microsoft.com/office/spreadsheetml/2017/richdata2" ref="F4:G4">
    <sortCondition ref="F4"/>
  </sortState>
  <mergeCells count="2">
    <mergeCell ref="F2:H3"/>
    <mergeCell ref="H10:I10"/>
  </mergeCells>
  <dataValidations count="4">
    <dataValidation type="whole" allowBlank="1" showInputMessage="1" showErrorMessage="1" errorTitle="EEROR" error="kghjapiob_x000a_" sqref="F6" xr:uid="{00000000-0002-0000-0400-000000000000}">
      <formula1>1000</formula1>
      <formula2>2000</formula2>
    </dataValidation>
    <dataValidation type="whole" allowBlank="1" showInputMessage="1" showErrorMessage="1" errorTitle="Error" error="This Message is not valid. Please try again." sqref="G4" xr:uid="{00000000-0002-0000-0400-000001000000}">
      <formula1>1000</formula1>
      <formula2>2000</formula2>
    </dataValidation>
    <dataValidation type="whole" allowBlank="1" showInputMessage="1" showErrorMessage="1" errorTitle="Error" error="This Message is not valid. Please try again." sqref="F4" xr:uid="{00000000-0002-0000-0400-000002000000}">
      <formula1>F4</formula1>
      <formula2>G4</formula2>
    </dataValidation>
    <dataValidation type="whole" allowBlank="1" showInputMessage="1" showErrorMessage="1" errorTitle="Error" error="hkdsvawedgezc" sqref="I6" xr:uid="{00000000-0002-0000-0400-000003000000}">
      <formula1>I4</formula1>
      <formula2>J4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O27"/>
  <sheetViews>
    <sheetView workbookViewId="0"/>
  </sheetViews>
  <sheetFormatPr defaultColWidth="9.109375" defaultRowHeight="14.4" x14ac:dyDescent="0.3"/>
  <cols>
    <col min="1" max="18" width="9.109375" style="40"/>
    <col min="19" max="19" width="7.109375" style="40" customWidth="1"/>
    <col min="20" max="16384" width="9.109375" style="40"/>
  </cols>
  <sheetData>
    <row r="1" spans="6:15" ht="15" customHeight="1" x14ac:dyDescent="0.3"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6:15" ht="15" customHeight="1" x14ac:dyDescent="0.3">
      <c r="F2" s="39"/>
      <c r="K2" s="52" t="s">
        <v>358</v>
      </c>
      <c r="L2" s="52"/>
      <c r="M2" s="52"/>
      <c r="N2" s="52"/>
      <c r="O2" s="39"/>
    </row>
    <row r="3" spans="6:15" ht="15" customHeight="1" x14ac:dyDescent="0.3">
      <c r="F3" s="39"/>
      <c r="K3" s="52"/>
      <c r="L3" s="52"/>
      <c r="M3" s="52"/>
      <c r="N3" s="52"/>
      <c r="O3" s="39"/>
    </row>
    <row r="4" spans="6:15" ht="15" customHeight="1" x14ac:dyDescent="0.3">
      <c r="F4" s="39"/>
      <c r="G4" s="39"/>
      <c r="H4" s="39"/>
      <c r="I4" s="39"/>
      <c r="J4" s="39"/>
      <c r="K4" s="39"/>
      <c r="L4" s="39"/>
      <c r="M4" s="39"/>
      <c r="N4" s="39"/>
      <c r="O4" s="39"/>
    </row>
    <row r="27" spans="2:2" x14ac:dyDescent="0.3">
      <c r="B27" s="40" t="s">
        <v>359</v>
      </c>
    </row>
  </sheetData>
  <mergeCells count="1">
    <mergeCell ref="K2:N3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C47"/>
  <sheetViews>
    <sheetView workbookViewId="0"/>
  </sheetViews>
  <sheetFormatPr defaultColWidth="9.109375" defaultRowHeight="14.4" x14ac:dyDescent="0.3"/>
  <cols>
    <col min="1" max="16384" width="9.109375" style="41"/>
  </cols>
  <sheetData>
    <row r="1" spans="1:29" ht="15" customHeight="1" x14ac:dyDescent="0.3"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</row>
    <row r="2" spans="1:29" ht="15" customHeight="1" x14ac:dyDescent="0.3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</row>
    <row r="3" spans="1:29" ht="15" customHeight="1" x14ac:dyDescent="0.3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</row>
    <row r="4" spans="1:29" ht="15" customHeight="1" x14ac:dyDescent="0.3">
      <c r="A4" s="44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</row>
    <row r="5" spans="1:29" ht="15" customHeight="1" x14ac:dyDescent="0.3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</row>
    <row r="6" spans="1:29" ht="15" customHeight="1" x14ac:dyDescent="0.3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</row>
    <row r="7" spans="1:29" ht="15" customHeight="1" x14ac:dyDescent="0.3">
      <c r="A7" s="44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</row>
    <row r="8" spans="1:29" ht="15" customHeight="1" x14ac:dyDescent="0.3">
      <c r="A8" s="44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</row>
    <row r="9" spans="1:29" ht="15" customHeight="1" x14ac:dyDescent="0.3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</row>
    <row r="10" spans="1:29" ht="15" customHeight="1" x14ac:dyDescent="0.3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</row>
    <row r="11" spans="1:29" ht="15" customHeight="1" x14ac:dyDescent="0.3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</row>
    <row r="12" spans="1:29" ht="15" customHeight="1" x14ac:dyDescent="0.3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</row>
    <row r="13" spans="1:29" ht="15" customHeight="1" x14ac:dyDescent="0.3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</row>
    <row r="14" spans="1:29" ht="15" customHeight="1" x14ac:dyDescent="0.3">
      <c r="A14" s="44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</row>
    <row r="15" spans="1:29" ht="15" customHeight="1" x14ac:dyDescent="0.3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</row>
    <row r="16" spans="1:29" ht="15" customHeight="1" x14ac:dyDescent="0.3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</row>
    <row r="17" spans="1:29" ht="15" customHeight="1" x14ac:dyDescent="0.3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</row>
    <row r="18" spans="1:29" ht="15" customHeight="1" x14ac:dyDescent="0.3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</row>
    <row r="19" spans="1:29" ht="15" customHeight="1" x14ac:dyDescent="0.3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</row>
    <row r="20" spans="1:29" ht="15" customHeight="1" x14ac:dyDescent="0.3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53" t="s">
        <v>360</v>
      </c>
      <c r="N20" s="54"/>
      <c r="O20" s="54"/>
      <c r="P20" s="54"/>
      <c r="Q20" s="54"/>
      <c r="R20" s="5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</row>
    <row r="21" spans="1:29" ht="15" customHeight="1" x14ac:dyDescent="0.3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54"/>
      <c r="N21" s="54"/>
      <c r="O21" s="54"/>
      <c r="P21" s="54"/>
      <c r="Q21" s="54"/>
      <c r="R21" s="5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</row>
    <row r="22" spans="1:29" ht="15" customHeight="1" x14ac:dyDescent="0.3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54"/>
      <c r="N22" s="54"/>
      <c r="O22" s="54"/>
      <c r="P22" s="54"/>
      <c r="Q22" s="54"/>
      <c r="R22" s="5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</row>
    <row r="23" spans="1:29" ht="15" customHeight="1" x14ac:dyDescent="0.3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54"/>
      <c r="N23" s="54"/>
      <c r="O23" s="54"/>
      <c r="P23" s="54"/>
      <c r="Q23" s="54"/>
      <c r="R23" s="5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</row>
    <row r="24" spans="1:29" ht="15" customHeight="1" x14ac:dyDescent="0.3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54"/>
      <c r="N24" s="54"/>
      <c r="O24" s="54"/>
      <c r="P24" s="54"/>
      <c r="Q24" s="54"/>
      <c r="R24" s="5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</row>
    <row r="25" spans="1:29" ht="15" customHeight="1" x14ac:dyDescent="0.3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54"/>
      <c r="N25" s="54"/>
      <c r="O25" s="54"/>
      <c r="P25" s="54"/>
      <c r="Q25" s="54"/>
      <c r="R25" s="5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</row>
    <row r="26" spans="1:29" ht="15" customHeight="1" x14ac:dyDescent="0.3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54"/>
      <c r="N26" s="54"/>
      <c r="O26" s="54"/>
      <c r="P26" s="54"/>
      <c r="Q26" s="54"/>
      <c r="R26" s="5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</row>
    <row r="27" spans="1:29" ht="15" customHeight="1" x14ac:dyDescent="0.3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3"/>
      <c r="Q27" s="43"/>
      <c r="R27" s="43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</row>
    <row r="28" spans="1:29" ht="15" customHeight="1" x14ac:dyDescent="0.3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3"/>
      <c r="Q28" s="43"/>
      <c r="R28" s="43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</row>
    <row r="29" spans="1:29" ht="15" customHeight="1" x14ac:dyDescent="0.3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</row>
    <row r="30" spans="1:29" ht="15" customHeight="1" x14ac:dyDescent="0.3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</row>
    <row r="31" spans="1:29" ht="15" customHeight="1" x14ac:dyDescent="0.3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</row>
    <row r="32" spans="1:29" ht="15" customHeight="1" x14ac:dyDescent="0.3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</row>
    <row r="33" spans="1:29" ht="15" customHeight="1" x14ac:dyDescent="0.3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</row>
    <row r="34" spans="1:29" ht="15" customHeight="1" x14ac:dyDescent="0.3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</row>
    <row r="35" spans="1:29" ht="15" customHeight="1" x14ac:dyDescent="0.3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</row>
    <row r="36" spans="1:29" ht="15" customHeight="1" x14ac:dyDescent="0.3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</row>
    <row r="37" spans="1:29" ht="15" customHeight="1" x14ac:dyDescent="0.3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</row>
    <row r="38" spans="1:29" ht="15" customHeight="1" x14ac:dyDescent="0.3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</row>
    <row r="39" spans="1:29" ht="15" customHeight="1" x14ac:dyDescent="0.3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</row>
    <row r="40" spans="1:29" ht="15" customHeight="1" x14ac:dyDescent="0.3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</row>
    <row r="41" spans="1:29" ht="15" customHeight="1" x14ac:dyDescent="0.3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</row>
    <row r="42" spans="1:29" ht="15" customHeight="1" x14ac:dyDescent="0.3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</row>
    <row r="43" spans="1:29" ht="15" customHeight="1" x14ac:dyDescent="0.3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</row>
    <row r="44" spans="1:29" ht="15" customHeight="1" x14ac:dyDescent="0.3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</row>
    <row r="45" spans="1:29" ht="15" customHeight="1" x14ac:dyDescent="0.3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</row>
    <row r="46" spans="1:29" ht="15" customHeight="1" x14ac:dyDescent="0.3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</row>
    <row r="47" spans="1:29" ht="15" customHeight="1" x14ac:dyDescent="0.3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</row>
  </sheetData>
  <mergeCells count="1">
    <mergeCell ref="M20:R26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Cover</vt:lpstr>
      <vt:lpstr>Main Menu</vt:lpstr>
      <vt:lpstr>Ticket-Holder Details</vt:lpstr>
      <vt:lpstr>Summary</vt:lpstr>
      <vt:lpstr>Season Ticket Details</vt:lpstr>
      <vt:lpstr>Charts</vt:lpstr>
      <vt:lpstr>End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Munasar Muhidin</dc:creator>
  <cp:keywords/>
  <dc:description/>
  <cp:lastModifiedBy>munasar muhidin</cp:lastModifiedBy>
  <cp:revision/>
  <dcterms:created xsi:type="dcterms:W3CDTF">2019-11-28T11:29:45Z</dcterms:created>
  <dcterms:modified xsi:type="dcterms:W3CDTF">2022-08-10T13:14:46Z</dcterms:modified>
  <cp:category/>
  <cp:contentStatus/>
</cp:coreProperties>
</file>